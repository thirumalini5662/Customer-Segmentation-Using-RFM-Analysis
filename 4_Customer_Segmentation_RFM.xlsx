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_Data" sheetId="1" state="visible" r:id="rId3"/>
    <sheet name="RFM_Metrics" sheetId="2" state="visible" r:id="rId4"/>
    <sheet name="Segment_Summary" sheetId="3" state="visible" r:id="rId5"/>
    <sheet name="KPI_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<sst xmlns="http://schemas.openxmlformats.org/spreadsheetml/2006/main" count="666" uniqueCount="300">
  <si>
    <t xml:space="preserve">CUSTOMER TRANSACTIONS — RFM Analysis Dataset</t>
  </si>
  <si>
    <t xml:space="preserve">Customer_ID</t>
  </si>
  <si>
    <t xml:space="preserve">Customer_Name</t>
  </si>
  <si>
    <t xml:space="preserve">Invoice_Date</t>
  </si>
  <si>
    <t xml:space="preserve">Invoice_No</t>
  </si>
  <si>
    <t xml:space="preserve">Product_Category</t>
  </si>
  <si>
    <t xml:space="preserve">Amount_INR</t>
  </si>
  <si>
    <t xml:space="preserve">C001</t>
  </si>
  <si>
    <t xml:space="preserve">Arjun Mehta</t>
  </si>
  <si>
    <t xml:space="preserve">2024-04-07</t>
  </si>
  <si>
    <t xml:space="preserve">INV9722</t>
  </si>
  <si>
    <t xml:space="preserve">Sports</t>
  </si>
  <si>
    <t xml:space="preserve">2024-04-10</t>
  </si>
  <si>
    <t xml:space="preserve">INV4034</t>
  </si>
  <si>
    <t xml:space="preserve">Electronics</t>
  </si>
  <si>
    <t xml:space="preserve">2024-07-29</t>
  </si>
  <si>
    <t xml:space="preserve">INV3177</t>
  </si>
  <si>
    <t xml:space="preserve">Books</t>
  </si>
  <si>
    <t xml:space="preserve">2024-08-30</t>
  </si>
  <si>
    <t xml:space="preserve">INV8335</t>
  </si>
  <si>
    <t xml:space="preserve">Beauty</t>
  </si>
  <si>
    <t xml:space="preserve">2024-09-15</t>
  </si>
  <si>
    <t xml:space="preserve">INV3349</t>
  </si>
  <si>
    <t xml:space="preserve">INV8568</t>
  </si>
  <si>
    <t xml:space="preserve">C002</t>
  </si>
  <si>
    <t xml:space="preserve">Priya Sharma</t>
  </si>
  <si>
    <t xml:space="preserve">2024-03-02</t>
  </si>
  <si>
    <t xml:space="preserve">INV6237</t>
  </si>
  <si>
    <t xml:space="preserve">2024-03-08</t>
  </si>
  <si>
    <t xml:space="preserve">INV3736</t>
  </si>
  <si>
    <t xml:space="preserve">2024-07-02</t>
  </si>
  <si>
    <t xml:space="preserve">INV9204</t>
  </si>
  <si>
    <t xml:space="preserve">Groceries</t>
  </si>
  <si>
    <t xml:space="preserve">2024-07-18</t>
  </si>
  <si>
    <t xml:space="preserve">INV3321</t>
  </si>
  <si>
    <t xml:space="preserve">Stationery</t>
  </si>
  <si>
    <t xml:space="preserve">2024-07-19</t>
  </si>
  <si>
    <t xml:space="preserve">INV1851</t>
  </si>
  <si>
    <t xml:space="preserve">Apparel</t>
  </si>
  <si>
    <t xml:space="preserve">C003</t>
  </si>
  <si>
    <t xml:space="preserve">Rohit Nair</t>
  </si>
  <si>
    <t xml:space="preserve">2024-03-18</t>
  </si>
  <si>
    <t xml:space="preserve">INV1747</t>
  </si>
  <si>
    <t xml:space="preserve">2024-05-28</t>
  </si>
  <si>
    <t xml:space="preserve">INV5326</t>
  </si>
  <si>
    <t xml:space="preserve">Home &amp; Kitchen</t>
  </si>
  <si>
    <t xml:space="preserve">2024-07-20</t>
  </si>
  <si>
    <t xml:space="preserve">INV7334</t>
  </si>
  <si>
    <t xml:space="preserve">2024-09-20</t>
  </si>
  <si>
    <t xml:space="preserve">INV5299</t>
  </si>
  <si>
    <t xml:space="preserve">Toys</t>
  </si>
  <si>
    <t xml:space="preserve">C004</t>
  </si>
  <si>
    <t xml:space="preserve">Sneha Iyer</t>
  </si>
  <si>
    <t xml:space="preserve">2024-04-22</t>
  </si>
  <si>
    <t xml:space="preserve">INV6363</t>
  </si>
  <si>
    <t xml:space="preserve">2024-05-02</t>
  </si>
  <si>
    <t xml:space="preserve">INV6182</t>
  </si>
  <si>
    <t xml:space="preserve">Furniture</t>
  </si>
  <si>
    <t xml:space="preserve">2024-09-09</t>
  </si>
  <si>
    <t xml:space="preserve">INV5168</t>
  </si>
  <si>
    <t xml:space="preserve">C005</t>
  </si>
  <si>
    <t xml:space="preserve">Vikram Rao</t>
  </si>
  <si>
    <t xml:space="preserve">2024-06-21</t>
  </si>
  <si>
    <t xml:space="preserve">INV8264</t>
  </si>
  <si>
    <t xml:space="preserve">INV5880</t>
  </si>
  <si>
    <t xml:space="preserve">2024-08-14</t>
  </si>
  <si>
    <t xml:space="preserve">INV1877</t>
  </si>
  <si>
    <t xml:space="preserve">2024-09-17</t>
  </si>
  <si>
    <t xml:space="preserve">INV3449</t>
  </si>
  <si>
    <t xml:space="preserve">INV5205</t>
  </si>
  <si>
    <t xml:space="preserve">C006</t>
  </si>
  <si>
    <t xml:space="preserve">Anita Desai</t>
  </si>
  <si>
    <t xml:space="preserve">2024-04-25</t>
  </si>
  <si>
    <t xml:space="preserve">INV6045</t>
  </si>
  <si>
    <t xml:space="preserve">2024-09-06</t>
  </si>
  <si>
    <t xml:space="preserve">INV3398</t>
  </si>
  <si>
    <t xml:space="preserve">C007</t>
  </si>
  <si>
    <t xml:space="preserve">Karan Singh</t>
  </si>
  <si>
    <t xml:space="preserve">2024-04-15</t>
  </si>
  <si>
    <t xml:space="preserve">INV9563</t>
  </si>
  <si>
    <t xml:space="preserve">2024-05-06</t>
  </si>
  <si>
    <t xml:space="preserve">INV7960</t>
  </si>
  <si>
    <t xml:space="preserve">2024-05-15</t>
  </si>
  <si>
    <t xml:space="preserve">INV1520</t>
  </si>
  <si>
    <t xml:space="preserve">2024-08-09</t>
  </si>
  <si>
    <t xml:space="preserve">INV2459</t>
  </si>
  <si>
    <t xml:space="preserve">2024-08-27</t>
  </si>
  <si>
    <t xml:space="preserve">INV7003</t>
  </si>
  <si>
    <t xml:space="preserve">2024-09-07</t>
  </si>
  <si>
    <t xml:space="preserve">INV5827</t>
  </si>
  <si>
    <t xml:space="preserve">C008</t>
  </si>
  <si>
    <t xml:space="preserve">Meena Patel</t>
  </si>
  <si>
    <t xml:space="preserve">2024-05-03</t>
  </si>
  <si>
    <t xml:space="preserve">INV7143</t>
  </si>
  <si>
    <t xml:space="preserve">2024-07-01</t>
  </si>
  <si>
    <t xml:space="preserve">INV6434</t>
  </si>
  <si>
    <t xml:space="preserve">2024-08-07</t>
  </si>
  <si>
    <t xml:space="preserve">INV6003</t>
  </si>
  <si>
    <t xml:space="preserve">2024-08-12</t>
  </si>
  <si>
    <t xml:space="preserve">INV4069</t>
  </si>
  <si>
    <t xml:space="preserve">2024-08-18</t>
  </si>
  <si>
    <t xml:space="preserve">INV4911</t>
  </si>
  <si>
    <t xml:space="preserve">C009</t>
  </si>
  <si>
    <t xml:space="preserve">Suresh Kumar</t>
  </si>
  <si>
    <t xml:space="preserve">2024-05-14</t>
  </si>
  <si>
    <t xml:space="preserve">INV4042</t>
  </si>
  <si>
    <t xml:space="preserve">C010</t>
  </si>
  <si>
    <t xml:space="preserve">Deepa Reddy</t>
  </si>
  <si>
    <t xml:space="preserve">2024-03-09</t>
  </si>
  <si>
    <t xml:space="preserve">INV6695</t>
  </si>
  <si>
    <t xml:space="preserve">2024-04-01</t>
  </si>
  <si>
    <t xml:space="preserve">INV7685</t>
  </si>
  <si>
    <t xml:space="preserve">2024-04-03</t>
  </si>
  <si>
    <t xml:space="preserve">INV1805</t>
  </si>
  <si>
    <t xml:space="preserve">INV5296</t>
  </si>
  <si>
    <t xml:space="preserve">2024-06-12</t>
  </si>
  <si>
    <t xml:space="preserve">INV7351</t>
  </si>
  <si>
    <t xml:space="preserve">C011</t>
  </si>
  <si>
    <t xml:space="preserve">Rahul Gupta</t>
  </si>
  <si>
    <t xml:space="preserve">2024-08-13</t>
  </si>
  <si>
    <t xml:space="preserve">INV2518</t>
  </si>
  <si>
    <t xml:space="preserve">C012</t>
  </si>
  <si>
    <t xml:space="preserve">Pooja Verma</t>
  </si>
  <si>
    <t xml:space="preserve">2024-06-17</t>
  </si>
  <si>
    <t xml:space="preserve">INV1624</t>
  </si>
  <si>
    <t xml:space="preserve">C013</t>
  </si>
  <si>
    <t xml:space="preserve">Manish Joshi</t>
  </si>
  <si>
    <t xml:space="preserve">INV8800</t>
  </si>
  <si>
    <t xml:space="preserve">C014</t>
  </si>
  <si>
    <t xml:space="preserve">Kavita Shah</t>
  </si>
  <si>
    <t xml:space="preserve">2024-03-12</t>
  </si>
  <si>
    <t xml:space="preserve">INV4684</t>
  </si>
  <si>
    <t xml:space="preserve">2024-04-05</t>
  </si>
  <si>
    <t xml:space="preserve">INV3430</t>
  </si>
  <si>
    <t xml:space="preserve">2024-04-11</t>
  </si>
  <si>
    <t xml:space="preserve">INV5758</t>
  </si>
  <si>
    <t xml:space="preserve">2024-07-23</t>
  </si>
  <si>
    <t xml:space="preserve">INV3919</t>
  </si>
  <si>
    <t xml:space="preserve">INV9901</t>
  </si>
  <si>
    <t xml:space="preserve">C015</t>
  </si>
  <si>
    <t xml:space="preserve">Nikhil Bansal</t>
  </si>
  <si>
    <t xml:space="preserve">2024-05-07</t>
  </si>
  <si>
    <t xml:space="preserve">INV5589</t>
  </si>
  <si>
    <t xml:space="preserve">2024-07-13</t>
  </si>
  <si>
    <t xml:space="preserve">INV5595</t>
  </si>
  <si>
    <t xml:space="preserve">2024-07-27</t>
  </si>
  <si>
    <t xml:space="preserve">INV9793</t>
  </si>
  <si>
    <t xml:space="preserve">2024-08-01</t>
  </si>
  <si>
    <t xml:space="preserve">INV2709</t>
  </si>
  <si>
    <t xml:space="preserve">2024-09-26</t>
  </si>
  <si>
    <t xml:space="preserve">INV6774</t>
  </si>
  <si>
    <t xml:space="preserve">C016</t>
  </si>
  <si>
    <t xml:space="preserve">Ritika Bhatt</t>
  </si>
  <si>
    <t xml:space="preserve">2024-06-22</t>
  </si>
  <si>
    <t xml:space="preserve">INV8114</t>
  </si>
  <si>
    <t xml:space="preserve">2024-07-10</t>
  </si>
  <si>
    <t xml:space="preserve">INV3540</t>
  </si>
  <si>
    <t xml:space="preserve">2024-07-25</t>
  </si>
  <si>
    <t xml:space="preserve">INV9542</t>
  </si>
  <si>
    <t xml:space="preserve">2024-09-10</t>
  </si>
  <si>
    <t xml:space="preserve">INV8038</t>
  </si>
  <si>
    <t xml:space="preserve">C017</t>
  </si>
  <si>
    <t xml:space="preserve">Anil Tiwari</t>
  </si>
  <si>
    <t xml:space="preserve">INV9719</t>
  </si>
  <si>
    <t xml:space="preserve">2024-04-23</t>
  </si>
  <si>
    <t xml:space="preserve">INV8068</t>
  </si>
  <si>
    <t xml:space="preserve">INV7999</t>
  </si>
  <si>
    <t xml:space="preserve">C018</t>
  </si>
  <si>
    <t xml:space="preserve">Swati Mishra</t>
  </si>
  <si>
    <t xml:space="preserve">2024-06-08</t>
  </si>
  <si>
    <t xml:space="preserve">INV6453</t>
  </si>
  <si>
    <t xml:space="preserve">2024-07-15</t>
  </si>
  <si>
    <t xml:space="preserve">INV9465</t>
  </si>
  <si>
    <t xml:space="preserve">INV3058</t>
  </si>
  <si>
    <t xml:space="preserve">2024-09-11</t>
  </si>
  <si>
    <t xml:space="preserve">INV7074</t>
  </si>
  <si>
    <t xml:space="preserve">C019</t>
  </si>
  <si>
    <t xml:space="preserve">Rajesh Pillai</t>
  </si>
  <si>
    <t xml:space="preserve">2024-05-27</t>
  </si>
  <si>
    <t xml:space="preserve">INV3984</t>
  </si>
  <si>
    <t xml:space="preserve">2024-06-24</t>
  </si>
  <si>
    <t xml:space="preserve">INV6569</t>
  </si>
  <si>
    <t xml:space="preserve">2024-07-04</t>
  </si>
  <si>
    <t xml:space="preserve">INV4857</t>
  </si>
  <si>
    <t xml:space="preserve">2024-07-06</t>
  </si>
  <si>
    <t xml:space="preserve">INV9409</t>
  </si>
  <si>
    <t xml:space="preserve">INV7882</t>
  </si>
  <si>
    <t xml:space="preserve">2024-07-31</t>
  </si>
  <si>
    <t xml:space="preserve">INV2268</t>
  </si>
  <si>
    <t xml:space="preserve">2024-09-08</t>
  </si>
  <si>
    <t xml:space="preserve">INV1998</t>
  </si>
  <si>
    <t xml:space="preserve">C020</t>
  </si>
  <si>
    <t xml:space="preserve">Divya Nair</t>
  </si>
  <si>
    <t xml:space="preserve">2024-03-11</t>
  </si>
  <si>
    <t xml:space="preserve">INV1633</t>
  </si>
  <si>
    <t xml:space="preserve">2024-03-14</t>
  </si>
  <si>
    <t xml:space="preserve">INV9500</t>
  </si>
  <si>
    <t xml:space="preserve">C021</t>
  </si>
  <si>
    <t xml:space="preserve">Saurabh Pandey</t>
  </si>
  <si>
    <t xml:space="preserve">INV8346</t>
  </si>
  <si>
    <t xml:space="preserve">2024-05-20</t>
  </si>
  <si>
    <t xml:space="preserve">INV2922</t>
  </si>
  <si>
    <t xml:space="preserve">2024-06-04</t>
  </si>
  <si>
    <t xml:space="preserve">INV9525</t>
  </si>
  <si>
    <t xml:space="preserve">INV8596</t>
  </si>
  <si>
    <t xml:space="preserve">INV6019</t>
  </si>
  <si>
    <t xml:space="preserve">C022</t>
  </si>
  <si>
    <t xml:space="preserve">Neha Agarwal</t>
  </si>
  <si>
    <t xml:space="preserve">2024-04-08</t>
  </si>
  <si>
    <t xml:space="preserve">INV2469</t>
  </si>
  <si>
    <t xml:space="preserve">2024-07-21</t>
  </si>
  <si>
    <t xml:space="preserve">INV2839</t>
  </si>
  <si>
    <t xml:space="preserve">2024-08-03</t>
  </si>
  <si>
    <t xml:space="preserve">INV1236</t>
  </si>
  <si>
    <t xml:space="preserve">C023</t>
  </si>
  <si>
    <t xml:space="preserve">Tarun Bose</t>
  </si>
  <si>
    <t xml:space="preserve">2024-04-04</t>
  </si>
  <si>
    <t xml:space="preserve">INV3053</t>
  </si>
  <si>
    <t xml:space="preserve">2024-04-24</t>
  </si>
  <si>
    <t xml:space="preserve">INV2588</t>
  </si>
  <si>
    <t xml:space="preserve">2024-05-09</t>
  </si>
  <si>
    <t xml:space="preserve">INV2489</t>
  </si>
  <si>
    <t xml:space="preserve">INV5156</t>
  </si>
  <si>
    <t xml:space="preserve">INV2445</t>
  </si>
  <si>
    <t xml:space="preserve">INV7843</t>
  </si>
  <si>
    <t xml:space="preserve">2024-08-02</t>
  </si>
  <si>
    <t xml:space="preserve">INV4893</t>
  </si>
  <si>
    <t xml:space="preserve">C024</t>
  </si>
  <si>
    <t xml:space="preserve">Lata Choudhary</t>
  </si>
  <si>
    <t xml:space="preserve">2024-03-04</t>
  </si>
  <si>
    <t xml:space="preserve">INV2644</t>
  </si>
  <si>
    <t xml:space="preserve">2024-04-14</t>
  </si>
  <si>
    <t xml:space="preserve">INV2499</t>
  </si>
  <si>
    <t xml:space="preserve">2024-04-28</t>
  </si>
  <si>
    <t xml:space="preserve">INV5644</t>
  </si>
  <si>
    <t xml:space="preserve">2024-05-04</t>
  </si>
  <si>
    <t xml:space="preserve">INV6744</t>
  </si>
  <si>
    <t xml:space="preserve">INV8019</t>
  </si>
  <si>
    <t xml:space="preserve">C025</t>
  </si>
  <si>
    <t xml:space="preserve">Amit Saxena</t>
  </si>
  <si>
    <t xml:space="preserve">INV5708</t>
  </si>
  <si>
    <t xml:space="preserve">2024-05-05</t>
  </si>
  <si>
    <t xml:space="preserve">INV4698</t>
  </si>
  <si>
    <t xml:space="preserve">INV4195</t>
  </si>
  <si>
    <t xml:space="preserve">INV7787</t>
  </si>
  <si>
    <t xml:space="preserve">2024-09-22</t>
  </si>
  <si>
    <t xml:space="preserve">INV8930</t>
  </si>
  <si>
    <t xml:space="preserve">RFM METRICS — Per Customer</t>
  </si>
  <si>
    <t xml:space="preserve">Last_Purchase_Date</t>
  </si>
  <si>
    <t xml:space="preserve">Recency_Days</t>
  </si>
  <si>
    <t xml:space="preserve">Frequency</t>
  </si>
  <si>
    <t xml:space="preserve">Monetary_INR</t>
  </si>
  <si>
    <t xml:space="preserve">R_Score</t>
  </si>
  <si>
    <t xml:space="preserve">F_Score</t>
  </si>
  <si>
    <t xml:space="preserve">M_Score</t>
  </si>
  <si>
    <t xml:space="preserve">RFM_Total_Score</t>
  </si>
  <si>
    <t xml:space="preserve">Segment</t>
  </si>
  <si>
    <t xml:space="preserve">Loyal Customer</t>
  </si>
  <si>
    <t xml:space="preserve">At Risk</t>
  </si>
  <si>
    <t xml:space="preserve">Active Customer</t>
  </si>
  <si>
    <t xml:space="preserve">Lost Customer</t>
  </si>
  <si>
    <t xml:space="preserve">RFM SEGMENT SUMMARY</t>
  </si>
  <si>
    <t xml:space="preserve">Customer Count</t>
  </si>
  <si>
    <t xml:space="preserve">% of Total</t>
  </si>
  <si>
    <t xml:space="preserve">Total Revenue (INR)</t>
  </si>
  <si>
    <t xml:space="preserve">Avg Revenue (INR)</t>
  </si>
  <si>
    <t xml:space="preserve">Avg RFM Score</t>
  </si>
  <si>
    <t xml:space="preserve">TOTAL</t>
  </si>
  <si>
    <t xml:space="preserve">RFM MODEL — KPI DASHBOARD</t>
  </si>
  <si>
    <t xml:space="preserve">KPI</t>
  </si>
  <si>
    <t xml:space="preserve">Value</t>
  </si>
  <si>
    <t xml:space="preserve">Benchmark</t>
  </si>
  <si>
    <t xml:space="preserve">Insight</t>
  </si>
  <si>
    <t xml:space="preserve">Total Customers</t>
  </si>
  <si>
    <t xml:space="preserve">25 customers</t>
  </si>
  <si>
    <t xml:space="preserve">Unique customers analysed</t>
  </si>
  <si>
    <t xml:space="preserve">Total Transactions</t>
  </si>
  <si>
    <t xml:space="preserve">100 records</t>
  </si>
  <si>
    <t xml:space="preserve">Total invoice records</t>
  </si>
  <si>
    <t xml:space="preserve">—</t>
  </si>
  <si>
    <t xml:space="preserve">Cumulative customer spend</t>
  </si>
  <si>
    <t xml:space="preserve">Avg Monetary Value (INR)</t>
  </si>
  <si>
    <t xml:space="preserve">Mean spend per customer</t>
  </si>
  <si>
    <t xml:space="preserve">Avg Recency (Days)</t>
  </si>
  <si>
    <t xml:space="preserve">&lt;30 days ideal</t>
  </si>
  <si>
    <t xml:space="preserve">Lower = more engaged</t>
  </si>
  <si>
    <t xml:space="preserve">Avg Frequency</t>
  </si>
  <si>
    <t xml:space="preserve">&gt;3 ideal</t>
  </si>
  <si>
    <t xml:space="preserve">Avg purchases per customer</t>
  </si>
  <si>
    <t xml:space="preserve">Loyal Customer %</t>
  </si>
  <si>
    <t xml:space="preserve">&gt;25%</t>
  </si>
  <si>
    <t xml:space="preserve">Target: &gt;25%</t>
  </si>
  <si>
    <t xml:space="preserve">At Risk Customer %</t>
  </si>
  <si>
    <t xml:space="preserve">&lt;20%</t>
  </si>
  <si>
    <t xml:space="preserve">Target: &lt;20%</t>
  </si>
  <si>
    <t xml:space="preserve">Lost Customer %</t>
  </si>
  <si>
    <t xml:space="preserve">&lt;15%</t>
  </si>
  <si>
    <t xml:space="preserve">Needs reactivation campaign</t>
  </si>
  <si>
    <t xml:space="preserve">Max RFM Score Customer</t>
  </si>
  <si>
    <t xml:space="preserve">Top-ranked loyal customer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</si>
</sst>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₹#,##0"/>
    <numFmt numFmtId="166" formatCode="#,##0"/>
    <numFmt numFmtId="167" formatCode="0.00%"/>
    <numFmt numFmtId="168" formatCode="0.0"/>
    <numFmt numFmtId="169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4A235A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4A235A"/>
        <bgColor rgb="FF6C3483"/>
      </patternFill>
    </fill>
    <fill>
      <patternFill patternType="solid">
        <fgColor rgb="FF6C3483"/>
        <bgColor rgb="FF993366"/>
      </patternFill>
    </fill>
    <fill>
      <patternFill patternType="solid">
        <fgColor rgb="FFD5F5E3"/>
        <bgColor rgb="FFD6EAF8"/>
      </patternFill>
    </fill>
    <fill>
      <patternFill patternType="solid">
        <fgColor rgb="FFFDEBD0"/>
        <bgColor rgb="FFFADBD8"/>
      </patternFill>
    </fill>
    <fill>
      <patternFill patternType="solid">
        <fgColor rgb="FFD6EAF8"/>
        <bgColor rgb="FFD5F5E3"/>
      </patternFill>
    </fill>
    <fill>
      <patternFill patternType="solid">
        <fgColor rgb="FFFADBD8"/>
        <bgColor rgb="FFE8DAEF"/>
      </patternFill>
    </fill>
    <fill>
      <patternFill patternType="solid">
        <fgColor rgb="FFE8DAEF"/>
        <bgColor rgb="FFFADBD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6C3483"/>
      <rgbColor rgb="FFFDEBD0"/>
      <rgbColor rgb="FFD6EAF8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23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5" hidden="false" customHeight="false" outlineLevel="0" collapsed="false">
      <c r="A3" s="3" t="s">
        <v>7</v>
      </c>
      <c r="B3" s="4" t="s">
        <v>8</v>
      </c>
      <c r="C3" s="3" t="s">
        <v>9</v>
      </c>
      <c r="D3" s="3" t="s">
        <v>10</v>
      </c>
      <c r="E3" s="4" t="s">
        <v>11</v>
      </c>
      <c r="F3" s="5" t="n">
        <v>8420.33</v>
      </c>
    </row>
    <row r="4" customFormat="false" ht="15" hidden="false" customHeight="false" outlineLevel="0" collapsed="false">
      <c r="A4" s="3" t="s">
        <v>7</v>
      </c>
      <c r="B4" s="4" t="s">
        <v>8</v>
      </c>
      <c r="C4" s="3" t="s">
        <v>12</v>
      </c>
      <c r="D4" s="3" t="s">
        <v>13</v>
      </c>
      <c r="E4" s="4" t="s">
        <v>14</v>
      </c>
      <c r="F4" s="5" t="n">
        <v>755.64</v>
      </c>
    </row>
    <row r="5" customFormat="false" ht="15" hidden="false" customHeight="false" outlineLevel="0" collapsed="false">
      <c r="A5" s="3" t="s">
        <v>7</v>
      </c>
      <c r="B5" s="4" t="s">
        <v>8</v>
      </c>
      <c r="C5" s="3" t="s">
        <v>15</v>
      </c>
      <c r="D5" s="3" t="s">
        <v>16</v>
      </c>
      <c r="E5" s="4" t="s">
        <v>17</v>
      </c>
      <c r="F5" s="5" t="n">
        <v>961.47</v>
      </c>
    </row>
    <row r="6" customFormat="false" ht="15" hidden="false" customHeight="false" outlineLevel="0" collapsed="false">
      <c r="A6" s="3" t="s">
        <v>7</v>
      </c>
      <c r="B6" s="4" t="s">
        <v>8</v>
      </c>
      <c r="C6" s="3" t="s">
        <v>18</v>
      </c>
      <c r="D6" s="3" t="s">
        <v>19</v>
      </c>
      <c r="E6" s="4" t="s">
        <v>20</v>
      </c>
      <c r="F6" s="5" t="n">
        <v>3666.19</v>
      </c>
    </row>
    <row r="7" customFormat="false" ht="15" hidden="false" customHeight="false" outlineLevel="0" collapsed="false">
      <c r="A7" s="3" t="s">
        <v>7</v>
      </c>
      <c r="B7" s="4" t="s">
        <v>8</v>
      </c>
      <c r="C7" s="3" t="s">
        <v>21</v>
      </c>
      <c r="D7" s="3" t="s">
        <v>22</v>
      </c>
      <c r="E7" s="4" t="s">
        <v>17</v>
      </c>
      <c r="F7" s="5" t="n">
        <v>7185.83</v>
      </c>
    </row>
    <row r="8" customFormat="false" ht="15" hidden="false" customHeight="false" outlineLevel="0" collapsed="false">
      <c r="A8" s="3" t="s">
        <v>7</v>
      </c>
      <c r="B8" s="4" t="s">
        <v>8</v>
      </c>
      <c r="C8" s="3" t="s">
        <v>21</v>
      </c>
      <c r="D8" s="3" t="s">
        <v>23</v>
      </c>
      <c r="E8" s="4" t="s">
        <v>11</v>
      </c>
      <c r="F8" s="5" t="n">
        <v>3425.06</v>
      </c>
    </row>
    <row r="9" customFormat="false" ht="15" hidden="false" customHeight="false" outlineLevel="0" collapsed="false">
      <c r="A9" s="3" t="s">
        <v>24</v>
      </c>
      <c r="B9" s="4" t="s">
        <v>25</v>
      </c>
      <c r="C9" s="3" t="s">
        <v>26</v>
      </c>
      <c r="D9" s="3" t="s">
        <v>27</v>
      </c>
      <c r="E9" s="4" t="s">
        <v>11</v>
      </c>
      <c r="F9" s="5" t="n">
        <v>1571.52</v>
      </c>
    </row>
    <row r="10" customFormat="false" ht="15" hidden="false" customHeight="false" outlineLevel="0" collapsed="false">
      <c r="A10" s="3" t="s">
        <v>24</v>
      </c>
      <c r="B10" s="4" t="s">
        <v>25</v>
      </c>
      <c r="C10" s="3" t="s">
        <v>28</v>
      </c>
      <c r="D10" s="3" t="s">
        <v>29</v>
      </c>
      <c r="E10" s="4" t="s">
        <v>14</v>
      </c>
      <c r="F10" s="5" t="n">
        <v>1178.67</v>
      </c>
    </row>
    <row r="11" customFormat="false" ht="15" hidden="false" customHeight="false" outlineLevel="0" collapsed="false">
      <c r="A11" s="3" t="s">
        <v>24</v>
      </c>
      <c r="B11" s="4" t="s">
        <v>25</v>
      </c>
      <c r="C11" s="3" t="s">
        <v>30</v>
      </c>
      <c r="D11" s="3" t="s">
        <v>31</v>
      </c>
      <c r="E11" s="4" t="s">
        <v>32</v>
      </c>
      <c r="F11" s="5" t="n">
        <v>1327.27</v>
      </c>
    </row>
    <row r="12" customFormat="false" ht="15" hidden="false" customHeight="false" outlineLevel="0" collapsed="false">
      <c r="A12" s="3" t="s">
        <v>24</v>
      </c>
      <c r="B12" s="4" t="s">
        <v>25</v>
      </c>
      <c r="C12" s="3" t="s">
        <v>33</v>
      </c>
      <c r="D12" s="3" t="s">
        <v>34</v>
      </c>
      <c r="E12" s="4" t="s">
        <v>35</v>
      </c>
      <c r="F12" s="5" t="n">
        <v>6329.81</v>
      </c>
    </row>
    <row r="13" customFormat="false" ht="15" hidden="false" customHeight="false" outlineLevel="0" collapsed="false">
      <c r="A13" s="3" t="s">
        <v>24</v>
      </c>
      <c r="B13" s="4" t="s">
        <v>25</v>
      </c>
      <c r="C13" s="3" t="s">
        <v>36</v>
      </c>
      <c r="D13" s="3" t="s">
        <v>37</v>
      </c>
      <c r="E13" s="4" t="s">
        <v>38</v>
      </c>
      <c r="F13" s="5" t="n">
        <v>5329.23</v>
      </c>
    </row>
    <row r="14" customFormat="false" ht="15" hidden="false" customHeight="false" outlineLevel="0" collapsed="false">
      <c r="A14" s="3" t="s">
        <v>39</v>
      </c>
      <c r="B14" s="4" t="s">
        <v>40</v>
      </c>
      <c r="C14" s="3" t="s">
        <v>41</v>
      </c>
      <c r="D14" s="3" t="s">
        <v>42</v>
      </c>
      <c r="E14" s="4" t="s">
        <v>35</v>
      </c>
      <c r="F14" s="5" t="n">
        <v>7854.66</v>
      </c>
    </row>
    <row r="15" customFormat="false" ht="15" hidden="false" customHeight="false" outlineLevel="0" collapsed="false">
      <c r="A15" s="3" t="s">
        <v>39</v>
      </c>
      <c r="B15" s="4" t="s">
        <v>40</v>
      </c>
      <c r="C15" s="3" t="s">
        <v>43</v>
      </c>
      <c r="D15" s="3" t="s">
        <v>44</v>
      </c>
      <c r="E15" s="4" t="s">
        <v>45</v>
      </c>
      <c r="F15" s="5" t="n">
        <v>685</v>
      </c>
    </row>
    <row r="16" customFormat="false" ht="15" hidden="false" customHeight="false" outlineLevel="0" collapsed="false">
      <c r="A16" s="3" t="s">
        <v>39</v>
      </c>
      <c r="B16" s="4" t="s">
        <v>40</v>
      </c>
      <c r="C16" s="3" t="s">
        <v>46</v>
      </c>
      <c r="D16" s="3" t="s">
        <v>47</v>
      </c>
      <c r="E16" s="4" t="s">
        <v>45</v>
      </c>
      <c r="F16" s="5" t="n">
        <v>2869.8</v>
      </c>
    </row>
    <row r="17" customFormat="false" ht="15" hidden="false" customHeight="false" outlineLevel="0" collapsed="false">
      <c r="A17" s="3" t="s">
        <v>39</v>
      </c>
      <c r="B17" s="4" t="s">
        <v>40</v>
      </c>
      <c r="C17" s="3" t="s">
        <v>48</v>
      </c>
      <c r="D17" s="3" t="s">
        <v>49</v>
      </c>
      <c r="E17" s="4" t="s">
        <v>50</v>
      </c>
      <c r="F17" s="5" t="n">
        <v>6406.95</v>
      </c>
    </row>
    <row r="18" customFormat="false" ht="15" hidden="false" customHeight="false" outlineLevel="0" collapsed="false">
      <c r="A18" s="3" t="s">
        <v>51</v>
      </c>
      <c r="B18" s="4" t="s">
        <v>52</v>
      </c>
      <c r="C18" s="3" t="s">
        <v>53</v>
      </c>
      <c r="D18" s="3" t="s">
        <v>54</v>
      </c>
      <c r="E18" s="4" t="s">
        <v>20</v>
      </c>
      <c r="F18" s="5" t="n">
        <v>5055.63</v>
      </c>
    </row>
    <row r="19" customFormat="false" ht="15" hidden="false" customHeight="false" outlineLevel="0" collapsed="false">
      <c r="A19" s="3" t="s">
        <v>51</v>
      </c>
      <c r="B19" s="4" t="s">
        <v>52</v>
      </c>
      <c r="C19" s="3" t="s">
        <v>55</v>
      </c>
      <c r="D19" s="3" t="s">
        <v>56</v>
      </c>
      <c r="E19" s="4" t="s">
        <v>57</v>
      </c>
      <c r="F19" s="5" t="n">
        <v>4432.79</v>
      </c>
    </row>
    <row r="20" customFormat="false" ht="15" hidden="false" customHeight="false" outlineLevel="0" collapsed="false">
      <c r="A20" s="3" t="s">
        <v>51</v>
      </c>
      <c r="B20" s="4" t="s">
        <v>52</v>
      </c>
      <c r="C20" s="3" t="s">
        <v>58</v>
      </c>
      <c r="D20" s="3" t="s">
        <v>59</v>
      </c>
      <c r="E20" s="4" t="s">
        <v>32</v>
      </c>
      <c r="F20" s="5" t="n">
        <v>6927.31</v>
      </c>
    </row>
    <row r="21" customFormat="false" ht="15" hidden="false" customHeight="false" outlineLevel="0" collapsed="false">
      <c r="A21" s="3" t="s">
        <v>60</v>
      </c>
      <c r="B21" s="4" t="s">
        <v>61</v>
      </c>
      <c r="C21" s="3" t="s">
        <v>62</v>
      </c>
      <c r="D21" s="3" t="s">
        <v>63</v>
      </c>
      <c r="E21" s="4" t="s">
        <v>57</v>
      </c>
      <c r="F21" s="5" t="n">
        <v>1748.4</v>
      </c>
    </row>
    <row r="22" customFormat="false" ht="15" hidden="false" customHeight="false" outlineLevel="0" collapsed="false">
      <c r="A22" s="3" t="s">
        <v>60</v>
      </c>
      <c r="B22" s="4" t="s">
        <v>61</v>
      </c>
      <c r="C22" s="3" t="s">
        <v>33</v>
      </c>
      <c r="D22" s="3" t="s">
        <v>64</v>
      </c>
      <c r="E22" s="4" t="s">
        <v>17</v>
      </c>
      <c r="F22" s="5" t="n">
        <v>1012.45</v>
      </c>
    </row>
    <row r="23" customFormat="false" ht="15" hidden="false" customHeight="false" outlineLevel="0" collapsed="false">
      <c r="A23" s="3" t="s">
        <v>60</v>
      </c>
      <c r="B23" s="4" t="s">
        <v>61</v>
      </c>
      <c r="C23" s="3" t="s">
        <v>65</v>
      </c>
      <c r="D23" s="3" t="s">
        <v>66</v>
      </c>
      <c r="E23" s="4" t="s">
        <v>57</v>
      </c>
      <c r="F23" s="5" t="n">
        <v>3809.28</v>
      </c>
    </row>
    <row r="24" customFormat="false" ht="15" hidden="false" customHeight="false" outlineLevel="0" collapsed="false">
      <c r="A24" s="3" t="s">
        <v>60</v>
      </c>
      <c r="B24" s="4" t="s">
        <v>61</v>
      </c>
      <c r="C24" s="3" t="s">
        <v>67</v>
      </c>
      <c r="D24" s="3" t="s">
        <v>68</v>
      </c>
      <c r="E24" s="4" t="s">
        <v>50</v>
      </c>
      <c r="F24" s="5" t="n">
        <v>2767.58</v>
      </c>
    </row>
    <row r="25" customFormat="false" ht="15" hidden="false" customHeight="false" outlineLevel="0" collapsed="false">
      <c r="A25" s="3" t="s">
        <v>60</v>
      </c>
      <c r="B25" s="4" t="s">
        <v>61</v>
      </c>
      <c r="C25" s="3" t="s">
        <v>48</v>
      </c>
      <c r="D25" s="3" t="s">
        <v>69</v>
      </c>
      <c r="E25" s="4" t="s">
        <v>11</v>
      </c>
      <c r="F25" s="5" t="n">
        <v>7269.5</v>
      </c>
    </row>
    <row r="26" customFormat="false" ht="15" hidden="false" customHeight="false" outlineLevel="0" collapsed="false">
      <c r="A26" s="3" t="s">
        <v>70</v>
      </c>
      <c r="B26" s="4" t="s">
        <v>71</v>
      </c>
      <c r="C26" s="3" t="s">
        <v>72</v>
      </c>
      <c r="D26" s="3" t="s">
        <v>73</v>
      </c>
      <c r="E26" s="4" t="s">
        <v>17</v>
      </c>
      <c r="F26" s="5" t="n">
        <v>5246.53</v>
      </c>
    </row>
    <row r="27" customFormat="false" ht="15" hidden="false" customHeight="false" outlineLevel="0" collapsed="false">
      <c r="A27" s="3" t="s">
        <v>70</v>
      </c>
      <c r="B27" s="4" t="s">
        <v>71</v>
      </c>
      <c r="C27" s="3" t="s">
        <v>74</v>
      </c>
      <c r="D27" s="3" t="s">
        <v>75</v>
      </c>
      <c r="E27" s="4" t="s">
        <v>17</v>
      </c>
      <c r="F27" s="5" t="n">
        <v>3787.96</v>
      </c>
    </row>
    <row r="28" customFormat="false" ht="15" hidden="false" customHeight="false" outlineLevel="0" collapsed="false">
      <c r="A28" s="3" t="s">
        <v>76</v>
      </c>
      <c r="B28" s="4" t="s">
        <v>77</v>
      </c>
      <c r="C28" s="3" t="s">
        <v>78</v>
      </c>
      <c r="D28" s="3" t="s">
        <v>79</v>
      </c>
      <c r="E28" s="4" t="s">
        <v>11</v>
      </c>
      <c r="F28" s="5" t="n">
        <v>2377.16</v>
      </c>
    </row>
    <row r="29" customFormat="false" ht="15" hidden="false" customHeight="false" outlineLevel="0" collapsed="false">
      <c r="A29" s="3" t="s">
        <v>76</v>
      </c>
      <c r="B29" s="4" t="s">
        <v>77</v>
      </c>
      <c r="C29" s="3" t="s">
        <v>80</v>
      </c>
      <c r="D29" s="3" t="s">
        <v>81</v>
      </c>
      <c r="E29" s="4" t="s">
        <v>35</v>
      </c>
      <c r="F29" s="5" t="n">
        <v>2233.29</v>
      </c>
    </row>
    <row r="30" customFormat="false" ht="15" hidden="false" customHeight="false" outlineLevel="0" collapsed="false">
      <c r="A30" s="3" t="s">
        <v>76</v>
      </c>
      <c r="B30" s="4" t="s">
        <v>77</v>
      </c>
      <c r="C30" s="3" t="s">
        <v>82</v>
      </c>
      <c r="D30" s="3" t="s">
        <v>83</v>
      </c>
      <c r="E30" s="4" t="s">
        <v>20</v>
      </c>
      <c r="F30" s="5" t="n">
        <v>4411.29</v>
      </c>
    </row>
    <row r="31" customFormat="false" ht="15" hidden="false" customHeight="false" outlineLevel="0" collapsed="false">
      <c r="A31" s="3" t="s">
        <v>76</v>
      </c>
      <c r="B31" s="4" t="s">
        <v>77</v>
      </c>
      <c r="C31" s="3" t="s">
        <v>84</v>
      </c>
      <c r="D31" s="3" t="s">
        <v>85</v>
      </c>
      <c r="E31" s="4" t="s">
        <v>38</v>
      </c>
      <c r="F31" s="5" t="n">
        <v>5679.81</v>
      </c>
    </row>
    <row r="32" customFormat="false" ht="15" hidden="false" customHeight="false" outlineLevel="0" collapsed="false">
      <c r="A32" s="3" t="s">
        <v>76</v>
      </c>
      <c r="B32" s="4" t="s">
        <v>77</v>
      </c>
      <c r="C32" s="3" t="s">
        <v>86</v>
      </c>
      <c r="D32" s="3" t="s">
        <v>87</v>
      </c>
      <c r="E32" s="4" t="s">
        <v>32</v>
      </c>
      <c r="F32" s="5" t="n">
        <v>900.86</v>
      </c>
    </row>
    <row r="33" customFormat="false" ht="15" hidden="false" customHeight="false" outlineLevel="0" collapsed="false">
      <c r="A33" s="3" t="s">
        <v>76</v>
      </c>
      <c r="B33" s="4" t="s">
        <v>77</v>
      </c>
      <c r="C33" s="3" t="s">
        <v>88</v>
      </c>
      <c r="D33" s="3" t="s">
        <v>89</v>
      </c>
      <c r="E33" s="4" t="s">
        <v>14</v>
      </c>
      <c r="F33" s="5" t="n">
        <v>3838.96</v>
      </c>
    </row>
    <row r="34" customFormat="false" ht="15" hidden="false" customHeight="false" outlineLevel="0" collapsed="false">
      <c r="A34" s="3" t="s">
        <v>90</v>
      </c>
      <c r="B34" s="4" t="s">
        <v>91</v>
      </c>
      <c r="C34" s="3" t="s">
        <v>92</v>
      </c>
      <c r="D34" s="3" t="s">
        <v>93</v>
      </c>
      <c r="E34" s="4" t="s">
        <v>20</v>
      </c>
      <c r="F34" s="5" t="n">
        <v>1583.96</v>
      </c>
    </row>
    <row r="35" customFormat="false" ht="15" hidden="false" customHeight="false" outlineLevel="0" collapsed="false">
      <c r="A35" s="3" t="s">
        <v>90</v>
      </c>
      <c r="B35" s="4" t="s">
        <v>91</v>
      </c>
      <c r="C35" s="3" t="s">
        <v>94</v>
      </c>
      <c r="D35" s="3" t="s">
        <v>95</v>
      </c>
      <c r="E35" s="4" t="s">
        <v>11</v>
      </c>
      <c r="F35" s="5" t="n">
        <v>1324.15</v>
      </c>
    </row>
    <row r="36" customFormat="false" ht="15" hidden="false" customHeight="false" outlineLevel="0" collapsed="false">
      <c r="A36" s="3" t="s">
        <v>90</v>
      </c>
      <c r="B36" s="4" t="s">
        <v>91</v>
      </c>
      <c r="C36" s="3" t="s">
        <v>96</v>
      </c>
      <c r="D36" s="3" t="s">
        <v>97</v>
      </c>
      <c r="E36" s="4" t="s">
        <v>38</v>
      </c>
      <c r="F36" s="5" t="n">
        <v>1146.3</v>
      </c>
    </row>
    <row r="37" customFormat="false" ht="15" hidden="false" customHeight="false" outlineLevel="0" collapsed="false">
      <c r="A37" s="3" t="s">
        <v>90</v>
      </c>
      <c r="B37" s="4" t="s">
        <v>91</v>
      </c>
      <c r="C37" s="3" t="s">
        <v>98</v>
      </c>
      <c r="D37" s="3" t="s">
        <v>99</v>
      </c>
      <c r="E37" s="4" t="s">
        <v>32</v>
      </c>
      <c r="F37" s="5" t="n">
        <v>880.78</v>
      </c>
    </row>
    <row r="38" customFormat="false" ht="15" hidden="false" customHeight="false" outlineLevel="0" collapsed="false">
      <c r="A38" s="3" t="s">
        <v>90</v>
      </c>
      <c r="B38" s="4" t="s">
        <v>91</v>
      </c>
      <c r="C38" s="3" t="s">
        <v>100</v>
      </c>
      <c r="D38" s="3" t="s">
        <v>101</v>
      </c>
      <c r="E38" s="4" t="s">
        <v>57</v>
      </c>
      <c r="F38" s="5" t="n">
        <v>6746.76</v>
      </c>
    </row>
    <row r="39" customFormat="false" ht="15" hidden="false" customHeight="false" outlineLevel="0" collapsed="false">
      <c r="A39" s="3" t="s">
        <v>102</v>
      </c>
      <c r="B39" s="4" t="s">
        <v>103</v>
      </c>
      <c r="C39" s="3" t="s">
        <v>104</v>
      </c>
      <c r="D39" s="3" t="s">
        <v>105</v>
      </c>
      <c r="E39" s="4" t="s">
        <v>45</v>
      </c>
      <c r="F39" s="5" t="n">
        <v>5762.72</v>
      </c>
    </row>
    <row r="40" customFormat="false" ht="15" hidden="false" customHeight="false" outlineLevel="0" collapsed="false">
      <c r="A40" s="3" t="s">
        <v>106</v>
      </c>
      <c r="B40" s="4" t="s">
        <v>107</v>
      </c>
      <c r="C40" s="3" t="s">
        <v>108</v>
      </c>
      <c r="D40" s="3" t="s">
        <v>109</v>
      </c>
      <c r="E40" s="4" t="s">
        <v>32</v>
      </c>
      <c r="F40" s="5" t="n">
        <v>1117.22</v>
      </c>
    </row>
    <row r="41" customFormat="false" ht="15" hidden="false" customHeight="false" outlineLevel="0" collapsed="false">
      <c r="A41" s="3" t="s">
        <v>106</v>
      </c>
      <c r="B41" s="4" t="s">
        <v>107</v>
      </c>
      <c r="C41" s="3" t="s">
        <v>110</v>
      </c>
      <c r="D41" s="3" t="s">
        <v>111</v>
      </c>
      <c r="E41" s="4" t="s">
        <v>17</v>
      </c>
      <c r="F41" s="5" t="n">
        <v>7735.24</v>
      </c>
    </row>
    <row r="42" customFormat="false" ht="15" hidden="false" customHeight="false" outlineLevel="0" collapsed="false">
      <c r="A42" s="3" t="s">
        <v>106</v>
      </c>
      <c r="B42" s="4" t="s">
        <v>107</v>
      </c>
      <c r="C42" s="3" t="s">
        <v>112</v>
      </c>
      <c r="D42" s="3" t="s">
        <v>113</v>
      </c>
      <c r="E42" s="4" t="s">
        <v>11</v>
      </c>
      <c r="F42" s="5" t="n">
        <v>1666.44</v>
      </c>
    </row>
    <row r="43" customFormat="false" ht="15" hidden="false" customHeight="false" outlineLevel="0" collapsed="false">
      <c r="A43" s="3" t="s">
        <v>106</v>
      </c>
      <c r="B43" s="4" t="s">
        <v>107</v>
      </c>
      <c r="C43" s="3" t="s">
        <v>55</v>
      </c>
      <c r="D43" s="3" t="s">
        <v>114</v>
      </c>
      <c r="E43" s="4" t="s">
        <v>17</v>
      </c>
      <c r="F43" s="5" t="n">
        <v>6909.31</v>
      </c>
    </row>
    <row r="44" customFormat="false" ht="15" hidden="false" customHeight="false" outlineLevel="0" collapsed="false">
      <c r="A44" s="3" t="s">
        <v>106</v>
      </c>
      <c r="B44" s="4" t="s">
        <v>107</v>
      </c>
      <c r="C44" s="3" t="s">
        <v>115</v>
      </c>
      <c r="D44" s="3" t="s">
        <v>116</v>
      </c>
      <c r="E44" s="4" t="s">
        <v>50</v>
      </c>
      <c r="F44" s="5" t="n">
        <v>3498.77</v>
      </c>
    </row>
    <row r="45" customFormat="false" ht="15" hidden="false" customHeight="false" outlineLevel="0" collapsed="false">
      <c r="A45" s="3" t="s">
        <v>117</v>
      </c>
      <c r="B45" s="4" t="s">
        <v>118</v>
      </c>
      <c r="C45" s="3" t="s">
        <v>119</v>
      </c>
      <c r="D45" s="3" t="s">
        <v>120</v>
      </c>
      <c r="E45" s="4" t="s">
        <v>57</v>
      </c>
      <c r="F45" s="5" t="n">
        <v>324.39</v>
      </c>
    </row>
    <row r="46" customFormat="false" ht="15" hidden="false" customHeight="false" outlineLevel="0" collapsed="false">
      <c r="A46" s="3" t="s">
        <v>121</v>
      </c>
      <c r="B46" s="4" t="s">
        <v>122</v>
      </c>
      <c r="C46" s="3" t="s">
        <v>123</v>
      </c>
      <c r="D46" s="3" t="s">
        <v>124</v>
      </c>
      <c r="E46" s="4" t="s">
        <v>11</v>
      </c>
      <c r="F46" s="5" t="n">
        <v>3560.6</v>
      </c>
    </row>
    <row r="47" customFormat="false" ht="15" hidden="false" customHeight="false" outlineLevel="0" collapsed="false">
      <c r="A47" s="3" t="s">
        <v>125</v>
      </c>
      <c r="B47" s="4" t="s">
        <v>126</v>
      </c>
      <c r="C47" s="3" t="s">
        <v>18</v>
      </c>
      <c r="D47" s="3" t="s">
        <v>127</v>
      </c>
      <c r="E47" s="4" t="s">
        <v>45</v>
      </c>
      <c r="F47" s="5" t="n">
        <v>538.26</v>
      </c>
    </row>
    <row r="48" customFormat="false" ht="15" hidden="false" customHeight="false" outlineLevel="0" collapsed="false">
      <c r="A48" s="3" t="s">
        <v>128</v>
      </c>
      <c r="B48" s="4" t="s">
        <v>129</v>
      </c>
      <c r="C48" s="3" t="s">
        <v>130</v>
      </c>
      <c r="D48" s="3" t="s">
        <v>131</v>
      </c>
      <c r="E48" s="4" t="s">
        <v>32</v>
      </c>
      <c r="F48" s="5" t="n">
        <v>4383.82</v>
      </c>
    </row>
    <row r="49" customFormat="false" ht="15" hidden="false" customHeight="false" outlineLevel="0" collapsed="false">
      <c r="A49" s="3" t="s">
        <v>128</v>
      </c>
      <c r="B49" s="4" t="s">
        <v>129</v>
      </c>
      <c r="C49" s="3" t="s">
        <v>132</v>
      </c>
      <c r="D49" s="3" t="s">
        <v>133</v>
      </c>
      <c r="E49" s="4" t="s">
        <v>14</v>
      </c>
      <c r="F49" s="5" t="n">
        <v>1217.86</v>
      </c>
    </row>
    <row r="50" customFormat="false" ht="15" hidden="false" customHeight="false" outlineLevel="0" collapsed="false">
      <c r="A50" s="3" t="s">
        <v>128</v>
      </c>
      <c r="B50" s="4" t="s">
        <v>129</v>
      </c>
      <c r="C50" s="3" t="s">
        <v>134</v>
      </c>
      <c r="D50" s="3" t="s">
        <v>135</v>
      </c>
      <c r="E50" s="4" t="s">
        <v>14</v>
      </c>
      <c r="F50" s="5" t="n">
        <v>1197.2</v>
      </c>
    </row>
    <row r="51" customFormat="false" ht="15" hidden="false" customHeight="false" outlineLevel="0" collapsed="false">
      <c r="A51" s="3" t="s">
        <v>128</v>
      </c>
      <c r="B51" s="4" t="s">
        <v>129</v>
      </c>
      <c r="C51" s="3" t="s">
        <v>136</v>
      </c>
      <c r="D51" s="3" t="s">
        <v>137</v>
      </c>
      <c r="E51" s="4" t="s">
        <v>20</v>
      </c>
      <c r="F51" s="5" t="n">
        <v>6044.53</v>
      </c>
    </row>
    <row r="52" customFormat="false" ht="15" hidden="false" customHeight="false" outlineLevel="0" collapsed="false">
      <c r="A52" s="3" t="s">
        <v>128</v>
      </c>
      <c r="B52" s="4" t="s">
        <v>129</v>
      </c>
      <c r="C52" s="3" t="s">
        <v>98</v>
      </c>
      <c r="D52" s="3" t="s">
        <v>138</v>
      </c>
      <c r="E52" s="4" t="s">
        <v>14</v>
      </c>
      <c r="F52" s="5" t="n">
        <v>8263.07</v>
      </c>
    </row>
    <row r="53" customFormat="false" ht="15" hidden="false" customHeight="false" outlineLevel="0" collapsed="false">
      <c r="A53" s="3" t="s">
        <v>139</v>
      </c>
      <c r="B53" s="4" t="s">
        <v>140</v>
      </c>
      <c r="C53" s="3" t="s">
        <v>141</v>
      </c>
      <c r="D53" s="3" t="s">
        <v>142</v>
      </c>
      <c r="E53" s="4" t="s">
        <v>20</v>
      </c>
      <c r="F53" s="5" t="n">
        <v>7591.99</v>
      </c>
    </row>
    <row r="54" customFormat="false" ht="15" hidden="false" customHeight="false" outlineLevel="0" collapsed="false">
      <c r="A54" s="3" t="s">
        <v>139</v>
      </c>
      <c r="B54" s="4" t="s">
        <v>140</v>
      </c>
      <c r="C54" s="3" t="s">
        <v>143</v>
      </c>
      <c r="D54" s="3" t="s">
        <v>144</v>
      </c>
      <c r="E54" s="4" t="s">
        <v>11</v>
      </c>
      <c r="F54" s="5" t="n">
        <v>3412.41</v>
      </c>
    </row>
    <row r="55" customFormat="false" ht="15" hidden="false" customHeight="false" outlineLevel="0" collapsed="false">
      <c r="A55" s="3" t="s">
        <v>139</v>
      </c>
      <c r="B55" s="4" t="s">
        <v>140</v>
      </c>
      <c r="C55" s="3" t="s">
        <v>145</v>
      </c>
      <c r="D55" s="3" t="s">
        <v>146</v>
      </c>
      <c r="E55" s="4" t="s">
        <v>50</v>
      </c>
      <c r="F55" s="5" t="n">
        <v>1890.03</v>
      </c>
    </row>
    <row r="56" customFormat="false" ht="15" hidden="false" customHeight="false" outlineLevel="0" collapsed="false">
      <c r="A56" s="3" t="s">
        <v>139</v>
      </c>
      <c r="B56" s="4" t="s">
        <v>140</v>
      </c>
      <c r="C56" s="3" t="s">
        <v>147</v>
      </c>
      <c r="D56" s="3" t="s">
        <v>148</v>
      </c>
      <c r="E56" s="4" t="s">
        <v>14</v>
      </c>
      <c r="F56" s="5" t="n">
        <v>6075.96</v>
      </c>
    </row>
    <row r="57" customFormat="false" ht="15" hidden="false" customHeight="false" outlineLevel="0" collapsed="false">
      <c r="A57" s="3" t="s">
        <v>139</v>
      </c>
      <c r="B57" s="4" t="s">
        <v>140</v>
      </c>
      <c r="C57" s="3" t="s">
        <v>149</v>
      </c>
      <c r="D57" s="3" t="s">
        <v>150</v>
      </c>
      <c r="E57" s="4" t="s">
        <v>32</v>
      </c>
      <c r="F57" s="5" t="n">
        <v>5887.11</v>
      </c>
    </row>
    <row r="58" customFormat="false" ht="15" hidden="false" customHeight="false" outlineLevel="0" collapsed="false">
      <c r="A58" s="3" t="s">
        <v>151</v>
      </c>
      <c r="B58" s="4" t="s">
        <v>152</v>
      </c>
      <c r="C58" s="3" t="s">
        <v>153</v>
      </c>
      <c r="D58" s="3" t="s">
        <v>154</v>
      </c>
      <c r="E58" s="4" t="s">
        <v>14</v>
      </c>
      <c r="F58" s="5" t="n">
        <v>3178.54</v>
      </c>
    </row>
    <row r="59" customFormat="false" ht="15" hidden="false" customHeight="false" outlineLevel="0" collapsed="false">
      <c r="A59" s="3" t="s">
        <v>151</v>
      </c>
      <c r="B59" s="4" t="s">
        <v>152</v>
      </c>
      <c r="C59" s="3" t="s">
        <v>155</v>
      </c>
      <c r="D59" s="3" t="s">
        <v>156</v>
      </c>
      <c r="E59" s="4" t="s">
        <v>38</v>
      </c>
      <c r="F59" s="5" t="n">
        <v>743.07</v>
      </c>
    </row>
    <row r="60" customFormat="false" ht="15" hidden="false" customHeight="false" outlineLevel="0" collapsed="false">
      <c r="A60" s="3" t="s">
        <v>151</v>
      </c>
      <c r="B60" s="4" t="s">
        <v>152</v>
      </c>
      <c r="C60" s="3" t="s">
        <v>157</v>
      </c>
      <c r="D60" s="3" t="s">
        <v>158</v>
      </c>
      <c r="E60" s="4" t="s">
        <v>14</v>
      </c>
      <c r="F60" s="5" t="n">
        <v>2057.26</v>
      </c>
    </row>
    <row r="61" customFormat="false" ht="15" hidden="false" customHeight="false" outlineLevel="0" collapsed="false">
      <c r="A61" s="3" t="s">
        <v>151</v>
      </c>
      <c r="B61" s="4" t="s">
        <v>152</v>
      </c>
      <c r="C61" s="3" t="s">
        <v>159</v>
      </c>
      <c r="D61" s="3" t="s">
        <v>160</v>
      </c>
      <c r="E61" s="4" t="s">
        <v>11</v>
      </c>
      <c r="F61" s="5" t="n">
        <v>7586.76</v>
      </c>
    </row>
    <row r="62" customFormat="false" ht="15" hidden="false" customHeight="false" outlineLevel="0" collapsed="false">
      <c r="A62" s="3" t="s">
        <v>161</v>
      </c>
      <c r="B62" s="4" t="s">
        <v>162</v>
      </c>
      <c r="C62" s="3" t="s">
        <v>28</v>
      </c>
      <c r="D62" s="3" t="s">
        <v>163</v>
      </c>
      <c r="E62" s="4" t="s">
        <v>17</v>
      </c>
      <c r="F62" s="5" t="n">
        <v>2565.28</v>
      </c>
    </row>
    <row r="63" customFormat="false" ht="15" hidden="false" customHeight="false" outlineLevel="0" collapsed="false">
      <c r="A63" s="3" t="s">
        <v>161</v>
      </c>
      <c r="B63" s="4" t="s">
        <v>162</v>
      </c>
      <c r="C63" s="3" t="s">
        <v>164</v>
      </c>
      <c r="D63" s="3" t="s">
        <v>165</v>
      </c>
      <c r="E63" s="4" t="s">
        <v>57</v>
      </c>
      <c r="F63" s="5" t="n">
        <v>2715.72</v>
      </c>
    </row>
    <row r="64" customFormat="false" ht="15" hidden="false" customHeight="false" outlineLevel="0" collapsed="false">
      <c r="A64" s="3" t="s">
        <v>161</v>
      </c>
      <c r="B64" s="4" t="s">
        <v>162</v>
      </c>
      <c r="C64" s="3" t="s">
        <v>86</v>
      </c>
      <c r="D64" s="3" t="s">
        <v>166</v>
      </c>
      <c r="E64" s="4" t="s">
        <v>45</v>
      </c>
      <c r="F64" s="5" t="n">
        <v>7795.34</v>
      </c>
    </row>
    <row r="65" customFormat="false" ht="15" hidden="false" customHeight="false" outlineLevel="0" collapsed="false">
      <c r="A65" s="3" t="s">
        <v>167</v>
      </c>
      <c r="B65" s="4" t="s">
        <v>168</v>
      </c>
      <c r="C65" s="3" t="s">
        <v>169</v>
      </c>
      <c r="D65" s="3" t="s">
        <v>170</v>
      </c>
      <c r="E65" s="4" t="s">
        <v>14</v>
      </c>
      <c r="F65" s="5" t="n">
        <v>2673.37</v>
      </c>
    </row>
    <row r="66" customFormat="false" ht="15" hidden="false" customHeight="false" outlineLevel="0" collapsed="false">
      <c r="A66" s="3" t="s">
        <v>167</v>
      </c>
      <c r="B66" s="4" t="s">
        <v>168</v>
      </c>
      <c r="C66" s="3" t="s">
        <v>171</v>
      </c>
      <c r="D66" s="3" t="s">
        <v>172</v>
      </c>
      <c r="E66" s="4" t="s">
        <v>50</v>
      </c>
      <c r="F66" s="5" t="n">
        <v>2129.03</v>
      </c>
    </row>
    <row r="67" customFormat="false" ht="15" hidden="false" customHeight="false" outlineLevel="0" collapsed="false">
      <c r="A67" s="3" t="s">
        <v>167</v>
      </c>
      <c r="B67" s="4" t="s">
        <v>168</v>
      </c>
      <c r="C67" s="3" t="s">
        <v>74</v>
      </c>
      <c r="D67" s="3" t="s">
        <v>173</v>
      </c>
      <c r="E67" s="4" t="s">
        <v>14</v>
      </c>
      <c r="F67" s="5" t="n">
        <v>7635.19</v>
      </c>
    </row>
    <row r="68" customFormat="false" ht="15" hidden="false" customHeight="false" outlineLevel="0" collapsed="false">
      <c r="A68" s="3" t="s">
        <v>167</v>
      </c>
      <c r="B68" s="4" t="s">
        <v>168</v>
      </c>
      <c r="C68" s="3" t="s">
        <v>174</v>
      </c>
      <c r="D68" s="3" t="s">
        <v>175</v>
      </c>
      <c r="E68" s="4" t="s">
        <v>57</v>
      </c>
      <c r="F68" s="5" t="n">
        <v>3551.71</v>
      </c>
    </row>
    <row r="69" customFormat="false" ht="15" hidden="false" customHeight="false" outlineLevel="0" collapsed="false">
      <c r="A69" s="3" t="s">
        <v>176</v>
      </c>
      <c r="B69" s="4" t="s">
        <v>177</v>
      </c>
      <c r="C69" s="3" t="s">
        <v>178</v>
      </c>
      <c r="D69" s="3" t="s">
        <v>179</v>
      </c>
      <c r="E69" s="4" t="s">
        <v>17</v>
      </c>
      <c r="F69" s="5" t="n">
        <v>1881.57</v>
      </c>
    </row>
    <row r="70" customFormat="false" ht="15" hidden="false" customHeight="false" outlineLevel="0" collapsed="false">
      <c r="A70" s="3" t="s">
        <v>176</v>
      </c>
      <c r="B70" s="4" t="s">
        <v>177</v>
      </c>
      <c r="C70" s="3" t="s">
        <v>180</v>
      </c>
      <c r="D70" s="3" t="s">
        <v>181</v>
      </c>
      <c r="E70" s="4" t="s">
        <v>45</v>
      </c>
      <c r="F70" s="5" t="n">
        <v>5286.65</v>
      </c>
    </row>
    <row r="71" customFormat="false" ht="15" hidden="false" customHeight="false" outlineLevel="0" collapsed="false">
      <c r="A71" s="3" t="s">
        <v>176</v>
      </c>
      <c r="B71" s="4" t="s">
        <v>177</v>
      </c>
      <c r="C71" s="3" t="s">
        <v>182</v>
      </c>
      <c r="D71" s="3" t="s">
        <v>183</v>
      </c>
      <c r="E71" s="4" t="s">
        <v>35</v>
      </c>
      <c r="F71" s="5" t="n">
        <v>2232.56</v>
      </c>
    </row>
    <row r="72" customFormat="false" ht="15" hidden="false" customHeight="false" outlineLevel="0" collapsed="false">
      <c r="A72" s="3" t="s">
        <v>176</v>
      </c>
      <c r="B72" s="4" t="s">
        <v>177</v>
      </c>
      <c r="C72" s="3" t="s">
        <v>184</v>
      </c>
      <c r="D72" s="3" t="s">
        <v>185</v>
      </c>
      <c r="E72" s="4" t="s">
        <v>20</v>
      </c>
      <c r="F72" s="5" t="n">
        <v>852.67</v>
      </c>
    </row>
    <row r="73" customFormat="false" ht="15" hidden="false" customHeight="false" outlineLevel="0" collapsed="false">
      <c r="A73" s="3" t="s">
        <v>176</v>
      </c>
      <c r="B73" s="4" t="s">
        <v>177</v>
      </c>
      <c r="C73" s="3" t="s">
        <v>33</v>
      </c>
      <c r="D73" s="3" t="s">
        <v>186</v>
      </c>
      <c r="E73" s="4" t="s">
        <v>32</v>
      </c>
      <c r="F73" s="5" t="n">
        <v>6121.08</v>
      </c>
    </row>
    <row r="74" customFormat="false" ht="15" hidden="false" customHeight="false" outlineLevel="0" collapsed="false">
      <c r="A74" s="3" t="s">
        <v>176</v>
      </c>
      <c r="B74" s="4" t="s">
        <v>177</v>
      </c>
      <c r="C74" s="3" t="s">
        <v>187</v>
      </c>
      <c r="D74" s="3" t="s">
        <v>188</v>
      </c>
      <c r="E74" s="4" t="s">
        <v>50</v>
      </c>
      <c r="F74" s="5" t="n">
        <v>4580.55</v>
      </c>
    </row>
    <row r="75" customFormat="false" ht="15" hidden="false" customHeight="false" outlineLevel="0" collapsed="false">
      <c r="A75" s="3" t="s">
        <v>176</v>
      </c>
      <c r="B75" s="4" t="s">
        <v>177</v>
      </c>
      <c r="C75" s="3" t="s">
        <v>189</v>
      </c>
      <c r="D75" s="3" t="s">
        <v>190</v>
      </c>
      <c r="E75" s="4" t="s">
        <v>38</v>
      </c>
      <c r="F75" s="5" t="n">
        <v>2353.45</v>
      </c>
    </row>
    <row r="76" customFormat="false" ht="15" hidden="false" customHeight="false" outlineLevel="0" collapsed="false">
      <c r="A76" s="3" t="s">
        <v>191</v>
      </c>
      <c r="B76" s="4" t="s">
        <v>192</v>
      </c>
      <c r="C76" s="3" t="s">
        <v>193</v>
      </c>
      <c r="D76" s="3" t="s">
        <v>194</v>
      </c>
      <c r="E76" s="4" t="s">
        <v>11</v>
      </c>
      <c r="F76" s="5" t="n">
        <v>5080.81</v>
      </c>
    </row>
    <row r="77" customFormat="false" ht="15" hidden="false" customHeight="false" outlineLevel="0" collapsed="false">
      <c r="A77" s="3" t="s">
        <v>191</v>
      </c>
      <c r="B77" s="4" t="s">
        <v>192</v>
      </c>
      <c r="C77" s="3" t="s">
        <v>195</v>
      </c>
      <c r="D77" s="3" t="s">
        <v>196</v>
      </c>
      <c r="E77" s="4" t="s">
        <v>57</v>
      </c>
      <c r="F77" s="5" t="n">
        <v>6684.76</v>
      </c>
    </row>
    <row r="78" customFormat="false" ht="15" hidden="false" customHeight="false" outlineLevel="0" collapsed="false">
      <c r="A78" s="3" t="s">
        <v>197</v>
      </c>
      <c r="B78" s="4" t="s">
        <v>198</v>
      </c>
      <c r="C78" s="3" t="s">
        <v>141</v>
      </c>
      <c r="D78" s="3" t="s">
        <v>199</v>
      </c>
      <c r="E78" s="4" t="s">
        <v>57</v>
      </c>
      <c r="F78" s="5" t="n">
        <v>5311.75</v>
      </c>
    </row>
    <row r="79" customFormat="false" ht="15" hidden="false" customHeight="false" outlineLevel="0" collapsed="false">
      <c r="A79" s="3" t="s">
        <v>197</v>
      </c>
      <c r="B79" s="4" t="s">
        <v>198</v>
      </c>
      <c r="C79" s="3" t="s">
        <v>200</v>
      </c>
      <c r="D79" s="3" t="s">
        <v>201</v>
      </c>
      <c r="E79" s="4" t="s">
        <v>11</v>
      </c>
      <c r="F79" s="5" t="n">
        <v>7021.08</v>
      </c>
    </row>
    <row r="80" customFormat="false" ht="15" hidden="false" customHeight="false" outlineLevel="0" collapsed="false">
      <c r="A80" s="3" t="s">
        <v>197</v>
      </c>
      <c r="B80" s="4" t="s">
        <v>198</v>
      </c>
      <c r="C80" s="3" t="s">
        <v>202</v>
      </c>
      <c r="D80" s="3" t="s">
        <v>203</v>
      </c>
      <c r="E80" s="4" t="s">
        <v>32</v>
      </c>
      <c r="F80" s="5" t="n">
        <v>7691.8</v>
      </c>
    </row>
    <row r="81" customFormat="false" ht="15" hidden="false" customHeight="false" outlineLevel="0" collapsed="false">
      <c r="A81" s="3" t="s">
        <v>197</v>
      </c>
      <c r="B81" s="4" t="s">
        <v>198</v>
      </c>
      <c r="C81" s="3" t="s">
        <v>84</v>
      </c>
      <c r="D81" s="3" t="s">
        <v>204</v>
      </c>
      <c r="E81" s="4" t="s">
        <v>20</v>
      </c>
      <c r="F81" s="5" t="n">
        <v>317.88</v>
      </c>
    </row>
    <row r="82" customFormat="false" ht="15" hidden="false" customHeight="false" outlineLevel="0" collapsed="false">
      <c r="A82" s="3" t="s">
        <v>197</v>
      </c>
      <c r="B82" s="4" t="s">
        <v>198</v>
      </c>
      <c r="C82" s="3" t="s">
        <v>21</v>
      </c>
      <c r="D82" s="3" t="s">
        <v>205</v>
      </c>
      <c r="E82" s="4" t="s">
        <v>45</v>
      </c>
      <c r="F82" s="5" t="n">
        <v>3985.94</v>
      </c>
    </row>
    <row r="83" customFormat="false" ht="15" hidden="false" customHeight="false" outlineLevel="0" collapsed="false">
      <c r="A83" s="3" t="s">
        <v>206</v>
      </c>
      <c r="B83" s="4" t="s">
        <v>207</v>
      </c>
      <c r="C83" s="3" t="s">
        <v>208</v>
      </c>
      <c r="D83" s="3" t="s">
        <v>209</v>
      </c>
      <c r="E83" s="4" t="s">
        <v>50</v>
      </c>
      <c r="F83" s="5" t="n">
        <v>7941.4</v>
      </c>
    </row>
    <row r="84" customFormat="false" ht="15" hidden="false" customHeight="false" outlineLevel="0" collapsed="false">
      <c r="A84" s="3" t="s">
        <v>206</v>
      </c>
      <c r="B84" s="4" t="s">
        <v>207</v>
      </c>
      <c r="C84" s="3" t="s">
        <v>210</v>
      </c>
      <c r="D84" s="3" t="s">
        <v>211</v>
      </c>
      <c r="E84" s="4" t="s">
        <v>45</v>
      </c>
      <c r="F84" s="5" t="n">
        <v>1672.09</v>
      </c>
    </row>
    <row r="85" customFormat="false" ht="15" hidden="false" customHeight="false" outlineLevel="0" collapsed="false">
      <c r="A85" s="3" t="s">
        <v>206</v>
      </c>
      <c r="B85" s="4" t="s">
        <v>207</v>
      </c>
      <c r="C85" s="3" t="s">
        <v>212</v>
      </c>
      <c r="D85" s="3" t="s">
        <v>213</v>
      </c>
      <c r="E85" s="4" t="s">
        <v>17</v>
      </c>
      <c r="F85" s="5" t="n">
        <v>7141.93</v>
      </c>
    </row>
    <row r="86" customFormat="false" ht="15" hidden="false" customHeight="false" outlineLevel="0" collapsed="false">
      <c r="A86" s="3" t="s">
        <v>214</v>
      </c>
      <c r="B86" s="4" t="s">
        <v>215</v>
      </c>
      <c r="C86" s="3" t="s">
        <v>216</v>
      </c>
      <c r="D86" s="3" t="s">
        <v>217</v>
      </c>
      <c r="E86" s="4" t="s">
        <v>32</v>
      </c>
      <c r="F86" s="5" t="n">
        <v>5191.51</v>
      </c>
    </row>
    <row r="87" customFormat="false" ht="15" hidden="false" customHeight="false" outlineLevel="0" collapsed="false">
      <c r="A87" s="3" t="s">
        <v>214</v>
      </c>
      <c r="B87" s="4" t="s">
        <v>215</v>
      </c>
      <c r="C87" s="3" t="s">
        <v>218</v>
      </c>
      <c r="D87" s="3" t="s">
        <v>219</v>
      </c>
      <c r="E87" s="4" t="s">
        <v>38</v>
      </c>
      <c r="F87" s="5" t="n">
        <v>1617.59</v>
      </c>
    </row>
    <row r="88" customFormat="false" ht="15" hidden="false" customHeight="false" outlineLevel="0" collapsed="false">
      <c r="A88" s="3" t="s">
        <v>214</v>
      </c>
      <c r="B88" s="4" t="s">
        <v>215</v>
      </c>
      <c r="C88" s="3" t="s">
        <v>220</v>
      </c>
      <c r="D88" s="3" t="s">
        <v>221</v>
      </c>
      <c r="E88" s="4" t="s">
        <v>11</v>
      </c>
      <c r="F88" s="5" t="n">
        <v>6934.32</v>
      </c>
    </row>
    <row r="89" customFormat="false" ht="15" hidden="false" customHeight="false" outlineLevel="0" collapsed="false">
      <c r="A89" s="3" t="s">
        <v>214</v>
      </c>
      <c r="B89" s="4" t="s">
        <v>215</v>
      </c>
      <c r="C89" s="3" t="s">
        <v>153</v>
      </c>
      <c r="D89" s="3" t="s">
        <v>222</v>
      </c>
      <c r="E89" s="4" t="s">
        <v>32</v>
      </c>
      <c r="F89" s="5" t="n">
        <v>6311.84</v>
      </c>
    </row>
    <row r="90" customFormat="false" ht="15" hidden="false" customHeight="false" outlineLevel="0" collapsed="false">
      <c r="A90" s="3" t="s">
        <v>214</v>
      </c>
      <c r="B90" s="4" t="s">
        <v>215</v>
      </c>
      <c r="C90" s="3" t="s">
        <v>182</v>
      </c>
      <c r="D90" s="3" t="s">
        <v>223</v>
      </c>
      <c r="E90" s="4" t="s">
        <v>38</v>
      </c>
      <c r="F90" s="5" t="n">
        <v>6608.92</v>
      </c>
    </row>
    <row r="91" customFormat="false" ht="15" hidden="false" customHeight="false" outlineLevel="0" collapsed="false">
      <c r="A91" s="3" t="s">
        <v>214</v>
      </c>
      <c r="B91" s="4" t="s">
        <v>215</v>
      </c>
      <c r="C91" s="3" t="s">
        <v>46</v>
      </c>
      <c r="D91" s="3" t="s">
        <v>224</v>
      </c>
      <c r="E91" s="4" t="s">
        <v>17</v>
      </c>
      <c r="F91" s="5" t="n">
        <v>2597.46</v>
      </c>
    </row>
    <row r="92" customFormat="false" ht="15" hidden="false" customHeight="false" outlineLevel="0" collapsed="false">
      <c r="A92" s="3" t="s">
        <v>214</v>
      </c>
      <c r="B92" s="4" t="s">
        <v>215</v>
      </c>
      <c r="C92" s="3" t="s">
        <v>225</v>
      </c>
      <c r="D92" s="3" t="s">
        <v>226</v>
      </c>
      <c r="E92" s="4" t="s">
        <v>50</v>
      </c>
      <c r="F92" s="5" t="n">
        <v>2036.07</v>
      </c>
    </row>
    <row r="93" customFormat="false" ht="15" hidden="false" customHeight="false" outlineLevel="0" collapsed="false">
      <c r="A93" s="3" t="s">
        <v>227</v>
      </c>
      <c r="B93" s="4" t="s">
        <v>228</v>
      </c>
      <c r="C93" s="3" t="s">
        <v>229</v>
      </c>
      <c r="D93" s="3" t="s">
        <v>230</v>
      </c>
      <c r="E93" s="4" t="s">
        <v>11</v>
      </c>
      <c r="F93" s="5" t="n">
        <v>7796.13</v>
      </c>
    </row>
    <row r="94" customFormat="false" ht="15" hidden="false" customHeight="false" outlineLevel="0" collapsed="false">
      <c r="A94" s="3" t="s">
        <v>227</v>
      </c>
      <c r="B94" s="4" t="s">
        <v>228</v>
      </c>
      <c r="C94" s="3" t="s">
        <v>231</v>
      </c>
      <c r="D94" s="3" t="s">
        <v>232</v>
      </c>
      <c r="E94" s="4" t="s">
        <v>20</v>
      </c>
      <c r="F94" s="5" t="n">
        <v>2799.77</v>
      </c>
    </row>
    <row r="95" customFormat="false" ht="15" hidden="false" customHeight="false" outlineLevel="0" collapsed="false">
      <c r="A95" s="3" t="s">
        <v>227</v>
      </c>
      <c r="B95" s="4" t="s">
        <v>228</v>
      </c>
      <c r="C95" s="3" t="s">
        <v>233</v>
      </c>
      <c r="D95" s="3" t="s">
        <v>234</v>
      </c>
      <c r="E95" s="4" t="s">
        <v>35</v>
      </c>
      <c r="F95" s="5" t="n">
        <v>1061.47</v>
      </c>
    </row>
    <row r="96" customFormat="false" ht="15" hidden="false" customHeight="false" outlineLevel="0" collapsed="false">
      <c r="A96" s="3" t="s">
        <v>227</v>
      </c>
      <c r="B96" s="4" t="s">
        <v>228</v>
      </c>
      <c r="C96" s="3" t="s">
        <v>235</v>
      </c>
      <c r="D96" s="3" t="s">
        <v>236</v>
      </c>
      <c r="E96" s="4" t="s">
        <v>45</v>
      </c>
      <c r="F96" s="5" t="n">
        <v>6084.22</v>
      </c>
    </row>
    <row r="97" customFormat="false" ht="15" hidden="false" customHeight="false" outlineLevel="0" collapsed="false">
      <c r="A97" s="3" t="s">
        <v>227</v>
      </c>
      <c r="B97" s="4" t="s">
        <v>228</v>
      </c>
      <c r="C97" s="3" t="s">
        <v>65</v>
      </c>
      <c r="D97" s="3" t="s">
        <v>237</v>
      </c>
      <c r="E97" s="4" t="s">
        <v>14</v>
      </c>
      <c r="F97" s="5" t="n">
        <v>8166.53</v>
      </c>
    </row>
    <row r="98" customFormat="false" ht="15" hidden="false" customHeight="false" outlineLevel="0" collapsed="false">
      <c r="A98" s="3" t="s">
        <v>238</v>
      </c>
      <c r="B98" s="4" t="s">
        <v>239</v>
      </c>
      <c r="C98" s="3" t="s">
        <v>55</v>
      </c>
      <c r="D98" s="3" t="s">
        <v>240</v>
      </c>
      <c r="E98" s="4" t="s">
        <v>20</v>
      </c>
      <c r="F98" s="5" t="n">
        <v>1971.55</v>
      </c>
    </row>
    <row r="99" customFormat="false" ht="15" hidden="false" customHeight="false" outlineLevel="0" collapsed="false">
      <c r="A99" s="3" t="s">
        <v>238</v>
      </c>
      <c r="B99" s="4" t="s">
        <v>239</v>
      </c>
      <c r="C99" s="3" t="s">
        <v>241</v>
      </c>
      <c r="D99" s="3" t="s">
        <v>242</v>
      </c>
      <c r="E99" s="4" t="s">
        <v>50</v>
      </c>
      <c r="F99" s="5" t="n">
        <v>476.41</v>
      </c>
    </row>
    <row r="100" customFormat="false" ht="15" hidden="false" customHeight="false" outlineLevel="0" collapsed="false">
      <c r="A100" s="3" t="s">
        <v>238</v>
      </c>
      <c r="B100" s="4" t="s">
        <v>239</v>
      </c>
      <c r="C100" s="3" t="s">
        <v>62</v>
      </c>
      <c r="D100" s="3" t="s">
        <v>243</v>
      </c>
      <c r="E100" s="4" t="s">
        <v>35</v>
      </c>
      <c r="F100" s="5" t="n">
        <v>3523.3</v>
      </c>
    </row>
    <row r="101" customFormat="false" ht="15" hidden="false" customHeight="false" outlineLevel="0" collapsed="false">
      <c r="A101" s="3" t="s">
        <v>238</v>
      </c>
      <c r="B101" s="4" t="s">
        <v>239</v>
      </c>
      <c r="C101" s="3" t="s">
        <v>94</v>
      </c>
      <c r="D101" s="3" t="s">
        <v>244</v>
      </c>
      <c r="E101" s="4" t="s">
        <v>17</v>
      </c>
      <c r="F101" s="5" t="n">
        <v>6975.22</v>
      </c>
    </row>
    <row r="102" customFormat="false" ht="15" hidden="false" customHeight="false" outlineLevel="0" collapsed="false">
      <c r="A102" s="3" t="s">
        <v>238</v>
      </c>
      <c r="B102" s="4" t="s">
        <v>239</v>
      </c>
      <c r="C102" s="3" t="s">
        <v>245</v>
      </c>
      <c r="D102" s="3" t="s">
        <v>246</v>
      </c>
      <c r="E102" s="4" t="s">
        <v>20</v>
      </c>
      <c r="F102" s="5" t="n">
        <v>2443.92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9" min="7" style="0" width="10"/>
    <col collapsed="false" customWidth="true" hidden="false" outlineLevel="0" max="10" min="10" style="0" width="16"/>
    <col collapsed="false" customWidth="true" hidden="false" outlineLevel="0" max="11" min="11" style="0" width="18"/>
  </cols>
  <sheetData>
    <row r="1" customFormat="false" ht="27.75" hidden="false" customHeight="true" outlineLevel="0" collapsed="false">
      <c r="A1" s="1" t="s">
        <v>247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248</v>
      </c>
      <c r="D2" s="2" t="s">
        <v>249</v>
      </c>
      <c r="E2" s="2" t="s">
        <v>250</v>
      </c>
      <c r="F2" s="2" t="s">
        <v>251</v>
      </c>
      <c r="G2" s="2" t="s">
        <v>252</v>
      </c>
      <c r="H2" s="2" t="s">
        <v>253</v>
      </c>
      <c r="I2" s="2" t="s">
        <v>254</v>
      </c>
      <c r="J2" s="2" t="s">
        <v>255</v>
      </c>
      <c r="K2" s="2" t="s">
        <v>256</v>
      </c>
    </row>
    <row r="3" customFormat="false" ht="15" hidden="false" customHeight="false" outlineLevel="0" collapsed="false">
      <c r="A3" s="3" t="s">
        <v>7</v>
      </c>
      <c r="B3" s="4" t="s">
        <v>8</v>
      </c>
      <c r="C3" s="3" t="s">
        <v>21</v>
      </c>
      <c r="D3" s="3" t="n">
        <v>15</v>
      </c>
      <c r="E3" s="3" t="n">
        <v>6</v>
      </c>
      <c r="F3" s="5" t="n">
        <v>24414.52</v>
      </c>
      <c r="G3" s="3" t="n">
        <v>5</v>
      </c>
      <c r="H3" s="3" t="n">
        <v>5</v>
      </c>
      <c r="I3" s="3" t="n">
        <v>5</v>
      </c>
      <c r="J3" s="3" t="n">
        <v>15</v>
      </c>
      <c r="K3" s="6" t="s">
        <v>257</v>
      </c>
    </row>
    <row r="4" customFormat="false" ht="15" hidden="false" customHeight="false" outlineLevel="0" collapsed="false">
      <c r="A4" s="3" t="s">
        <v>24</v>
      </c>
      <c r="B4" s="4" t="s">
        <v>25</v>
      </c>
      <c r="C4" s="3" t="s">
        <v>36</v>
      </c>
      <c r="D4" s="3" t="n">
        <v>73</v>
      </c>
      <c r="E4" s="3" t="n">
        <v>5</v>
      </c>
      <c r="F4" s="5" t="n">
        <v>15736.5</v>
      </c>
      <c r="G4" s="3" t="n">
        <v>1</v>
      </c>
      <c r="H4" s="3" t="n">
        <v>5</v>
      </c>
      <c r="I4" s="3" t="n">
        <v>3</v>
      </c>
      <c r="J4" s="3" t="n">
        <v>9</v>
      </c>
      <c r="K4" s="7" t="s">
        <v>258</v>
      </c>
    </row>
    <row r="5" customFormat="false" ht="15" hidden="false" customHeight="false" outlineLevel="0" collapsed="false">
      <c r="A5" s="3" t="s">
        <v>39</v>
      </c>
      <c r="B5" s="4" t="s">
        <v>40</v>
      </c>
      <c r="C5" s="3" t="s">
        <v>48</v>
      </c>
      <c r="D5" s="3" t="n">
        <v>10</v>
      </c>
      <c r="E5" s="3" t="n">
        <v>4</v>
      </c>
      <c r="F5" s="5" t="n">
        <v>17816.41</v>
      </c>
      <c r="G5" s="3" t="n">
        <v>5</v>
      </c>
      <c r="H5" s="3" t="n">
        <v>3</v>
      </c>
      <c r="I5" s="3" t="n">
        <v>4</v>
      </c>
      <c r="J5" s="3" t="n">
        <v>12</v>
      </c>
      <c r="K5" s="8" t="s">
        <v>259</v>
      </c>
    </row>
    <row r="6" customFormat="false" ht="15" hidden="false" customHeight="false" outlineLevel="0" collapsed="false">
      <c r="A6" s="3" t="s">
        <v>51</v>
      </c>
      <c r="B6" s="4" t="s">
        <v>52</v>
      </c>
      <c r="C6" s="3" t="s">
        <v>58</v>
      </c>
      <c r="D6" s="3" t="n">
        <v>21</v>
      </c>
      <c r="E6" s="3" t="n">
        <v>3</v>
      </c>
      <c r="F6" s="5" t="n">
        <v>16415.73</v>
      </c>
      <c r="G6" s="3" t="n">
        <v>4</v>
      </c>
      <c r="H6" s="3" t="n">
        <v>2</v>
      </c>
      <c r="I6" s="3" t="n">
        <v>3</v>
      </c>
      <c r="J6" s="3" t="n">
        <v>9</v>
      </c>
      <c r="K6" s="7" t="s">
        <v>258</v>
      </c>
    </row>
    <row r="7" customFormat="false" ht="15" hidden="false" customHeight="false" outlineLevel="0" collapsed="false">
      <c r="A7" s="3" t="s">
        <v>60</v>
      </c>
      <c r="B7" s="4" t="s">
        <v>61</v>
      </c>
      <c r="C7" s="3" t="s">
        <v>48</v>
      </c>
      <c r="D7" s="3" t="n">
        <v>10</v>
      </c>
      <c r="E7" s="3" t="n">
        <v>5</v>
      </c>
      <c r="F7" s="5" t="n">
        <v>16607.21</v>
      </c>
      <c r="G7" s="3" t="n">
        <v>5</v>
      </c>
      <c r="H7" s="3" t="n">
        <v>4</v>
      </c>
      <c r="I7" s="3" t="n">
        <v>3</v>
      </c>
      <c r="J7" s="3" t="n">
        <v>12</v>
      </c>
      <c r="K7" s="8" t="s">
        <v>259</v>
      </c>
    </row>
    <row r="8" customFormat="false" ht="15" hidden="false" customHeight="false" outlineLevel="0" collapsed="false">
      <c r="A8" s="3" t="s">
        <v>70</v>
      </c>
      <c r="B8" s="4" t="s">
        <v>71</v>
      </c>
      <c r="C8" s="3" t="s">
        <v>74</v>
      </c>
      <c r="D8" s="3" t="n">
        <v>24</v>
      </c>
      <c r="E8" s="3" t="n">
        <v>2</v>
      </c>
      <c r="F8" s="5" t="n">
        <v>9034.49</v>
      </c>
      <c r="G8" s="3" t="n">
        <v>3</v>
      </c>
      <c r="H8" s="3" t="n">
        <v>2</v>
      </c>
      <c r="I8" s="3" t="n">
        <v>1</v>
      </c>
      <c r="J8" s="3" t="n">
        <v>6</v>
      </c>
      <c r="K8" s="9" t="s">
        <v>260</v>
      </c>
    </row>
    <row r="9" customFormat="false" ht="15" hidden="false" customHeight="false" outlineLevel="0" collapsed="false">
      <c r="A9" s="3" t="s">
        <v>76</v>
      </c>
      <c r="B9" s="4" t="s">
        <v>77</v>
      </c>
      <c r="C9" s="3" t="s">
        <v>88</v>
      </c>
      <c r="D9" s="3" t="n">
        <v>23</v>
      </c>
      <c r="E9" s="3" t="n">
        <v>6</v>
      </c>
      <c r="F9" s="5" t="n">
        <v>19441.37</v>
      </c>
      <c r="G9" s="3" t="n">
        <v>3</v>
      </c>
      <c r="H9" s="3" t="n">
        <v>5</v>
      </c>
      <c r="I9" s="3" t="n">
        <v>4</v>
      </c>
      <c r="J9" s="3" t="n">
        <v>12</v>
      </c>
      <c r="K9" s="8" t="s">
        <v>259</v>
      </c>
    </row>
    <row r="10" customFormat="false" ht="15" hidden="false" customHeight="false" outlineLevel="0" collapsed="false">
      <c r="A10" s="3" t="s">
        <v>90</v>
      </c>
      <c r="B10" s="4" t="s">
        <v>91</v>
      </c>
      <c r="C10" s="3" t="s">
        <v>100</v>
      </c>
      <c r="D10" s="3" t="n">
        <v>43</v>
      </c>
      <c r="E10" s="3" t="n">
        <v>5</v>
      </c>
      <c r="F10" s="5" t="n">
        <v>11681.95</v>
      </c>
      <c r="G10" s="3" t="n">
        <v>3</v>
      </c>
      <c r="H10" s="3" t="n">
        <v>4</v>
      </c>
      <c r="I10" s="3" t="n">
        <v>2</v>
      </c>
      <c r="J10" s="3" t="n">
        <v>9</v>
      </c>
      <c r="K10" s="7" t="s">
        <v>258</v>
      </c>
    </row>
    <row r="11" customFormat="false" ht="15" hidden="false" customHeight="false" outlineLevel="0" collapsed="false">
      <c r="A11" s="3" t="s">
        <v>102</v>
      </c>
      <c r="B11" s="4" t="s">
        <v>103</v>
      </c>
      <c r="C11" s="3" t="s">
        <v>104</v>
      </c>
      <c r="D11" s="3" t="n">
        <v>139</v>
      </c>
      <c r="E11" s="3" t="n">
        <v>1</v>
      </c>
      <c r="F11" s="5" t="n">
        <v>5762.72</v>
      </c>
      <c r="G11" s="3" t="n">
        <v>1</v>
      </c>
      <c r="H11" s="3" t="n">
        <v>1</v>
      </c>
      <c r="I11" s="3" t="n">
        <v>1</v>
      </c>
      <c r="J11" s="3" t="n">
        <v>3</v>
      </c>
      <c r="K11" s="9" t="s">
        <v>260</v>
      </c>
    </row>
    <row r="12" customFormat="false" ht="15" hidden="false" customHeight="false" outlineLevel="0" collapsed="false">
      <c r="A12" s="3" t="s">
        <v>106</v>
      </c>
      <c r="B12" s="4" t="s">
        <v>107</v>
      </c>
      <c r="C12" s="3" t="s">
        <v>115</v>
      </c>
      <c r="D12" s="3" t="n">
        <v>110</v>
      </c>
      <c r="E12" s="3" t="n">
        <v>5</v>
      </c>
      <c r="F12" s="5" t="n">
        <v>20926.98</v>
      </c>
      <c r="G12" s="3" t="n">
        <v>1</v>
      </c>
      <c r="H12" s="3" t="n">
        <v>4</v>
      </c>
      <c r="I12" s="3" t="n">
        <v>4</v>
      </c>
      <c r="J12" s="3" t="n">
        <v>9</v>
      </c>
      <c r="K12" s="7" t="s">
        <v>258</v>
      </c>
    </row>
    <row r="13" customFormat="false" ht="15" hidden="false" customHeight="false" outlineLevel="0" collapsed="false">
      <c r="A13" s="3" t="s">
        <v>117</v>
      </c>
      <c r="B13" s="4" t="s">
        <v>118</v>
      </c>
      <c r="C13" s="3" t="s">
        <v>119</v>
      </c>
      <c r="D13" s="3" t="n">
        <v>48</v>
      </c>
      <c r="E13" s="3" t="n">
        <v>1</v>
      </c>
      <c r="F13" s="5" t="n">
        <v>324.39</v>
      </c>
      <c r="G13" s="3" t="n">
        <v>2</v>
      </c>
      <c r="H13" s="3" t="n">
        <v>1</v>
      </c>
      <c r="I13" s="3" t="n">
        <v>1</v>
      </c>
      <c r="J13" s="3" t="n">
        <v>4</v>
      </c>
      <c r="K13" s="9" t="s">
        <v>260</v>
      </c>
    </row>
    <row r="14" customFormat="false" ht="15" hidden="false" customHeight="false" outlineLevel="0" collapsed="false">
      <c r="A14" s="3" t="s">
        <v>121</v>
      </c>
      <c r="B14" s="4" t="s">
        <v>122</v>
      </c>
      <c r="C14" s="3" t="s">
        <v>123</v>
      </c>
      <c r="D14" s="3" t="n">
        <v>105</v>
      </c>
      <c r="E14" s="3" t="n">
        <v>1</v>
      </c>
      <c r="F14" s="5" t="n">
        <v>3560.6</v>
      </c>
      <c r="G14" s="3" t="n">
        <v>1</v>
      </c>
      <c r="H14" s="3" t="n">
        <v>1</v>
      </c>
      <c r="I14" s="3" t="n">
        <v>1</v>
      </c>
      <c r="J14" s="3" t="n">
        <v>3</v>
      </c>
      <c r="K14" s="9" t="s">
        <v>260</v>
      </c>
    </row>
    <row r="15" customFormat="false" ht="15" hidden="false" customHeight="false" outlineLevel="0" collapsed="false">
      <c r="A15" s="3" t="s">
        <v>125</v>
      </c>
      <c r="B15" s="4" t="s">
        <v>126</v>
      </c>
      <c r="C15" s="3" t="s">
        <v>18</v>
      </c>
      <c r="D15" s="3" t="n">
        <v>31</v>
      </c>
      <c r="E15" s="3" t="n">
        <v>1</v>
      </c>
      <c r="F15" s="5" t="n">
        <v>538.26</v>
      </c>
      <c r="G15" s="3" t="n">
        <v>3</v>
      </c>
      <c r="H15" s="3" t="n">
        <v>1</v>
      </c>
      <c r="I15" s="3" t="n">
        <v>1</v>
      </c>
      <c r="J15" s="3" t="n">
        <v>5</v>
      </c>
      <c r="K15" s="9" t="s">
        <v>260</v>
      </c>
    </row>
    <row r="16" customFormat="false" ht="15" hidden="false" customHeight="false" outlineLevel="0" collapsed="false">
      <c r="A16" s="3" t="s">
        <v>128</v>
      </c>
      <c r="B16" s="4" t="s">
        <v>129</v>
      </c>
      <c r="C16" s="3" t="s">
        <v>98</v>
      </c>
      <c r="D16" s="3" t="n">
        <v>49</v>
      </c>
      <c r="E16" s="3" t="n">
        <v>5</v>
      </c>
      <c r="F16" s="5" t="n">
        <v>21106.48</v>
      </c>
      <c r="G16" s="3" t="n">
        <v>2</v>
      </c>
      <c r="H16" s="3" t="n">
        <v>4</v>
      </c>
      <c r="I16" s="3" t="n">
        <v>4</v>
      </c>
      <c r="J16" s="3" t="n">
        <v>10</v>
      </c>
      <c r="K16" s="8" t="s">
        <v>259</v>
      </c>
    </row>
    <row r="17" customFormat="false" ht="15" hidden="false" customHeight="false" outlineLevel="0" collapsed="false">
      <c r="A17" s="3" t="s">
        <v>139</v>
      </c>
      <c r="B17" s="4" t="s">
        <v>140</v>
      </c>
      <c r="C17" s="3" t="s">
        <v>149</v>
      </c>
      <c r="D17" s="3" t="n">
        <v>4</v>
      </c>
      <c r="E17" s="3" t="n">
        <v>5</v>
      </c>
      <c r="F17" s="5" t="n">
        <v>24857.5</v>
      </c>
      <c r="G17" s="3" t="n">
        <v>5</v>
      </c>
      <c r="H17" s="3" t="n">
        <v>4</v>
      </c>
      <c r="I17" s="3" t="n">
        <v>5</v>
      </c>
      <c r="J17" s="3" t="n">
        <v>14</v>
      </c>
      <c r="K17" s="6" t="s">
        <v>257</v>
      </c>
    </row>
    <row r="18" customFormat="false" ht="15" hidden="false" customHeight="false" outlineLevel="0" collapsed="false">
      <c r="A18" s="3" t="s">
        <v>151</v>
      </c>
      <c r="B18" s="4" t="s">
        <v>152</v>
      </c>
      <c r="C18" s="3" t="s">
        <v>159</v>
      </c>
      <c r="D18" s="3" t="n">
        <v>20</v>
      </c>
      <c r="E18" s="3" t="n">
        <v>4</v>
      </c>
      <c r="F18" s="5" t="n">
        <v>13565.63</v>
      </c>
      <c r="G18" s="3" t="n">
        <v>4</v>
      </c>
      <c r="H18" s="3" t="n">
        <v>3</v>
      </c>
      <c r="I18" s="3" t="n">
        <v>2</v>
      </c>
      <c r="J18" s="3" t="n">
        <v>9</v>
      </c>
      <c r="K18" s="7" t="s">
        <v>258</v>
      </c>
    </row>
    <row r="19" customFormat="false" ht="15" hidden="false" customHeight="false" outlineLevel="0" collapsed="false">
      <c r="A19" s="3" t="s">
        <v>161</v>
      </c>
      <c r="B19" s="4" t="s">
        <v>162</v>
      </c>
      <c r="C19" s="3" t="s">
        <v>86</v>
      </c>
      <c r="D19" s="3" t="n">
        <v>34</v>
      </c>
      <c r="E19" s="3" t="n">
        <v>3</v>
      </c>
      <c r="F19" s="5" t="n">
        <v>13076.34</v>
      </c>
      <c r="G19" s="3" t="n">
        <v>3</v>
      </c>
      <c r="H19" s="3" t="n">
        <v>2</v>
      </c>
      <c r="I19" s="3" t="n">
        <v>2</v>
      </c>
      <c r="J19" s="3" t="n">
        <v>7</v>
      </c>
      <c r="K19" s="7" t="s">
        <v>258</v>
      </c>
    </row>
    <row r="20" customFormat="false" ht="15" hidden="false" customHeight="false" outlineLevel="0" collapsed="false">
      <c r="A20" s="3" t="s">
        <v>167</v>
      </c>
      <c r="B20" s="4" t="s">
        <v>168</v>
      </c>
      <c r="C20" s="3" t="s">
        <v>174</v>
      </c>
      <c r="D20" s="3" t="n">
        <v>19</v>
      </c>
      <c r="E20" s="3" t="n">
        <v>4</v>
      </c>
      <c r="F20" s="5" t="n">
        <v>15989.3</v>
      </c>
      <c r="G20" s="3" t="n">
        <v>4</v>
      </c>
      <c r="H20" s="3" t="n">
        <v>2</v>
      </c>
      <c r="I20" s="3" t="n">
        <v>3</v>
      </c>
      <c r="J20" s="3" t="n">
        <v>9</v>
      </c>
      <c r="K20" s="7" t="s">
        <v>258</v>
      </c>
    </row>
    <row r="21" customFormat="false" ht="15" hidden="false" customHeight="false" outlineLevel="0" collapsed="false">
      <c r="A21" s="3" t="s">
        <v>176</v>
      </c>
      <c r="B21" s="4" t="s">
        <v>177</v>
      </c>
      <c r="C21" s="3" t="s">
        <v>189</v>
      </c>
      <c r="D21" s="3" t="n">
        <v>22</v>
      </c>
      <c r="E21" s="3" t="n">
        <v>7</v>
      </c>
      <c r="F21" s="5" t="n">
        <v>23308.53</v>
      </c>
      <c r="G21" s="3" t="n">
        <v>4</v>
      </c>
      <c r="H21" s="3" t="n">
        <v>5</v>
      </c>
      <c r="I21" s="3" t="n">
        <v>4</v>
      </c>
      <c r="J21" s="3" t="n">
        <v>13</v>
      </c>
      <c r="K21" s="6" t="s">
        <v>257</v>
      </c>
    </row>
    <row r="22" customFormat="false" ht="15" hidden="false" customHeight="false" outlineLevel="0" collapsed="false">
      <c r="A22" s="3" t="s">
        <v>191</v>
      </c>
      <c r="B22" s="4" t="s">
        <v>192</v>
      </c>
      <c r="C22" s="3" t="s">
        <v>195</v>
      </c>
      <c r="D22" s="3" t="n">
        <v>200</v>
      </c>
      <c r="E22" s="3" t="n">
        <v>2</v>
      </c>
      <c r="F22" s="5" t="n">
        <v>11765.57</v>
      </c>
      <c r="G22" s="3" t="n">
        <v>1</v>
      </c>
      <c r="H22" s="3" t="n">
        <v>1</v>
      </c>
      <c r="I22" s="3" t="n">
        <v>2</v>
      </c>
      <c r="J22" s="3" t="n">
        <v>4</v>
      </c>
      <c r="K22" s="9" t="s">
        <v>260</v>
      </c>
    </row>
    <row r="23" customFormat="false" ht="15" hidden="false" customHeight="false" outlineLevel="0" collapsed="false">
      <c r="A23" s="3" t="s">
        <v>197</v>
      </c>
      <c r="B23" s="4" t="s">
        <v>198</v>
      </c>
      <c r="C23" s="3" t="s">
        <v>21</v>
      </c>
      <c r="D23" s="3" t="n">
        <v>15</v>
      </c>
      <c r="E23" s="3" t="n">
        <v>5</v>
      </c>
      <c r="F23" s="5" t="n">
        <v>24328.45</v>
      </c>
      <c r="G23" s="3" t="n">
        <v>4</v>
      </c>
      <c r="H23" s="3" t="n">
        <v>3</v>
      </c>
      <c r="I23" s="3" t="n">
        <v>5</v>
      </c>
      <c r="J23" s="3" t="n">
        <v>12</v>
      </c>
      <c r="K23" s="8" t="s">
        <v>259</v>
      </c>
    </row>
    <row r="24" customFormat="false" ht="15" hidden="false" customHeight="false" outlineLevel="0" collapsed="false">
      <c r="A24" s="3" t="s">
        <v>206</v>
      </c>
      <c r="B24" s="4" t="s">
        <v>207</v>
      </c>
      <c r="C24" s="3" t="s">
        <v>212</v>
      </c>
      <c r="D24" s="3" t="n">
        <v>58</v>
      </c>
      <c r="E24" s="3" t="n">
        <v>3</v>
      </c>
      <c r="F24" s="5" t="n">
        <v>16755.42</v>
      </c>
      <c r="G24" s="3" t="n">
        <v>2</v>
      </c>
      <c r="H24" s="3" t="n">
        <v>2</v>
      </c>
      <c r="I24" s="3" t="n">
        <v>3</v>
      </c>
      <c r="J24" s="3" t="n">
        <v>7</v>
      </c>
      <c r="K24" s="7" t="s">
        <v>258</v>
      </c>
    </row>
    <row r="25" customFormat="false" ht="15" hidden="false" customHeight="false" outlineLevel="0" collapsed="false">
      <c r="A25" s="3" t="s">
        <v>214</v>
      </c>
      <c r="B25" s="4" t="s">
        <v>215</v>
      </c>
      <c r="C25" s="3" t="s">
        <v>225</v>
      </c>
      <c r="D25" s="3" t="n">
        <v>59</v>
      </c>
      <c r="E25" s="3" t="n">
        <v>7</v>
      </c>
      <c r="F25" s="5" t="n">
        <v>31297.71</v>
      </c>
      <c r="G25" s="3" t="n">
        <v>2</v>
      </c>
      <c r="H25" s="3" t="n">
        <v>5</v>
      </c>
      <c r="I25" s="3" t="n">
        <v>5</v>
      </c>
      <c r="J25" s="3" t="n">
        <v>12</v>
      </c>
      <c r="K25" s="8" t="s">
        <v>259</v>
      </c>
    </row>
    <row r="26" customFormat="false" ht="15" hidden="false" customHeight="false" outlineLevel="0" collapsed="false">
      <c r="A26" s="3" t="s">
        <v>227</v>
      </c>
      <c r="B26" s="4" t="s">
        <v>228</v>
      </c>
      <c r="C26" s="3" t="s">
        <v>65</v>
      </c>
      <c r="D26" s="3" t="n">
        <v>47</v>
      </c>
      <c r="E26" s="3" t="n">
        <v>5</v>
      </c>
      <c r="F26" s="5" t="n">
        <v>25908.12</v>
      </c>
      <c r="G26" s="3" t="n">
        <v>2</v>
      </c>
      <c r="H26" s="3" t="n">
        <v>3</v>
      </c>
      <c r="I26" s="3" t="n">
        <v>5</v>
      </c>
      <c r="J26" s="3" t="n">
        <v>10</v>
      </c>
      <c r="K26" s="8" t="s">
        <v>259</v>
      </c>
    </row>
    <row r="27" customFormat="false" ht="15" hidden="false" customHeight="false" outlineLevel="0" collapsed="false">
      <c r="A27" s="3" t="s">
        <v>238</v>
      </c>
      <c r="B27" s="4" t="s">
        <v>239</v>
      </c>
      <c r="C27" s="3" t="s">
        <v>245</v>
      </c>
      <c r="D27" s="3" t="n">
        <v>8</v>
      </c>
      <c r="E27" s="3" t="n">
        <v>5</v>
      </c>
      <c r="F27" s="5" t="n">
        <v>15390.4</v>
      </c>
      <c r="G27" s="3" t="n">
        <v>5</v>
      </c>
      <c r="H27" s="3" t="n">
        <v>3</v>
      </c>
      <c r="I27" s="3" t="n">
        <v>2</v>
      </c>
      <c r="J27" s="3" t="n">
        <v>10</v>
      </c>
      <c r="K27" s="8" t="s">
        <v>259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22"/>
    <col collapsed="false" customWidth="true" hidden="false" outlineLevel="0" max="6" min="6" style="0" width="16"/>
  </cols>
  <sheetData>
    <row r="1" customFormat="false" ht="27.75" hidden="false" customHeight="true" outlineLevel="0" collapsed="false">
      <c r="A1" s="1" t="s">
        <v>261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256</v>
      </c>
      <c r="B2" s="2" t="s">
        <v>262</v>
      </c>
      <c r="C2" s="2" t="s">
        <v>263</v>
      </c>
      <c r="D2" s="2" t="s">
        <v>264</v>
      </c>
      <c r="E2" s="2" t="s">
        <v>265</v>
      </c>
      <c r="F2" s="2" t="s">
        <v>266</v>
      </c>
    </row>
    <row r="3" customFormat="false" ht="15" hidden="false" customHeight="false" outlineLevel="0" collapsed="false">
      <c r="A3" s="10" t="s">
        <v>257</v>
      </c>
      <c r="B3" s="11" t="n">
        <f aca="false">COUNTIF(RFM_Metrics!K3:K27,A3)</f>
        <v>3</v>
      </c>
      <c r="C3" s="12" t="n">
        <f aca="false">IF(25&gt;0,B3/25,0)</f>
        <v>0.12</v>
      </c>
      <c r="D3" s="13" t="n">
        <f aca="false">SUMIF(RFM_Metrics!K3:K27,A3,RFM_Metrics!F3:F27)</f>
        <v>72580.55</v>
      </c>
      <c r="E3" s="13" t="n">
        <f aca="false">IF(B3&gt;0,D3/B3,0)</f>
        <v>24193.5166666667</v>
      </c>
      <c r="F3" s="14" t="n">
        <f aca="false">AVERAGEIF(RFM_Metrics!K3:K27,A3,RFM_Metrics!J3:J27)</f>
        <v>14</v>
      </c>
    </row>
    <row r="4" customFormat="false" ht="15" hidden="false" customHeight="false" outlineLevel="0" collapsed="false">
      <c r="A4" s="15" t="s">
        <v>259</v>
      </c>
      <c r="B4" s="16" t="n">
        <f aca="false">COUNTIF(RFM_Metrics!K3:K27,A4)</f>
        <v>8</v>
      </c>
      <c r="C4" s="17" t="n">
        <f aca="false">IF(25&gt;0,B4/25,0)</f>
        <v>0.32</v>
      </c>
      <c r="D4" s="18" t="n">
        <f aca="false">SUMIF(RFM_Metrics!K3:K27,A4,RFM_Metrics!F3:F27)</f>
        <v>171896.15</v>
      </c>
      <c r="E4" s="18" t="n">
        <f aca="false">IF(B4&gt;0,D4/B4,0)</f>
        <v>21487.01875</v>
      </c>
      <c r="F4" s="19" t="n">
        <f aca="false">AVERAGEIF(RFM_Metrics!K3:K27,A4,RFM_Metrics!J3:J27)</f>
        <v>11.25</v>
      </c>
    </row>
    <row r="5" customFormat="false" ht="15" hidden="false" customHeight="false" outlineLevel="0" collapsed="false">
      <c r="A5" s="20" t="s">
        <v>258</v>
      </c>
      <c r="B5" s="21" t="n">
        <f aca="false">COUNTIF(RFM_Metrics!K3:K27,A5)</f>
        <v>8</v>
      </c>
      <c r="C5" s="22" t="n">
        <f aca="false">IF(25&gt;0,B5/25,0)</f>
        <v>0.32</v>
      </c>
      <c r="D5" s="23" t="n">
        <f aca="false">SUMIF(RFM_Metrics!K3:K27,A5,RFM_Metrics!F3:F27)</f>
        <v>124147.85</v>
      </c>
      <c r="E5" s="23" t="n">
        <f aca="false">IF(B5&gt;0,D5/B5,0)</f>
        <v>15518.48125</v>
      </c>
      <c r="F5" s="24" t="n">
        <f aca="false">AVERAGEIF(RFM_Metrics!K3:K27,A5,RFM_Metrics!J3:J27)</f>
        <v>8.5</v>
      </c>
    </row>
    <row r="6" customFormat="false" ht="15" hidden="false" customHeight="false" outlineLevel="0" collapsed="false">
      <c r="A6" s="25" t="s">
        <v>260</v>
      </c>
      <c r="B6" s="26" t="n">
        <f aca="false">COUNTIF(RFM_Metrics!K3:K27,A6)</f>
        <v>6</v>
      </c>
      <c r="C6" s="27" t="n">
        <f aca="false">IF(25&gt;0,B6/25,0)</f>
        <v>0.24</v>
      </c>
      <c r="D6" s="28" t="n">
        <f aca="false">SUMIF(RFM_Metrics!K3:K27,A6,RFM_Metrics!F3:F27)</f>
        <v>30986.03</v>
      </c>
      <c r="E6" s="28" t="n">
        <f aca="false">IF(B6&gt;0,D6/B6,0)</f>
        <v>5164.33833333333</v>
      </c>
      <c r="F6" s="29" t="n">
        <f aca="false">AVERAGEIF(RFM_Metrics!K3:K27,A6,RFM_Metrics!J3:J27)</f>
        <v>4.16666666666667</v>
      </c>
    </row>
    <row r="7" customFormat="false" ht="15" hidden="false" customHeight="false" outlineLevel="0" collapsed="false">
      <c r="A7" s="30" t="s">
        <v>267</v>
      </c>
      <c r="B7" s="31" t="n">
        <f aca="false">SUM(B3:B6)</f>
        <v>25</v>
      </c>
      <c r="C7" s="32" t="n">
        <f aca="false">SUM(C3:C6)</f>
        <v>1</v>
      </c>
      <c r="D7" s="33" t="n">
        <f aca="false">SUM(D3:D6)</f>
        <v>399610.58</v>
      </c>
      <c r="E7" s="34"/>
      <c r="F7" s="34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38"/>
  </cols>
  <sheetData>
    <row r="1" customFormat="false" ht="27.75" hidden="false" customHeight="true" outlineLevel="0" collapsed="false">
      <c r="A1" s="1" t="s">
        <v>268</v>
      </c>
      <c r="B1" s="1"/>
      <c r="C1" s="1"/>
      <c r="D1" s="1"/>
    </row>
    <row r="2" customFormat="false" ht="15" hidden="false" customHeight="false" outlineLevel="0" collapsed="false">
      <c r="A2" s="2" t="s">
        <v>269</v>
      </c>
      <c r="B2" s="2" t="s">
        <v>270</v>
      </c>
      <c r="C2" s="2" t="s">
        <v>271</v>
      </c>
      <c r="D2" s="2" t="s">
        <v>272</v>
      </c>
    </row>
    <row r="3" customFormat="false" ht="15" hidden="false" customHeight="false" outlineLevel="0" collapsed="false">
      <c r="A3" s="35" t="s">
        <v>273</v>
      </c>
      <c r="B3" s="36" t="n">
        <f aca="false">COUNTA(RFM_Metrics!A3:A27)</f>
        <v>25</v>
      </c>
      <c r="C3" s="37" t="s">
        <v>274</v>
      </c>
      <c r="D3" s="38" t="s">
        <v>275</v>
      </c>
    </row>
    <row r="4" customFormat="false" ht="15" hidden="false" customHeight="false" outlineLevel="0" collapsed="false">
      <c r="A4" s="35" t="s">
        <v>276</v>
      </c>
      <c r="B4" s="36" t="n">
        <f aca="false">COUNTA(Transaction_Data!A3:A102)</f>
        <v>100</v>
      </c>
      <c r="C4" s="37" t="s">
        <v>277</v>
      </c>
      <c r="D4" s="38" t="s">
        <v>278</v>
      </c>
    </row>
    <row r="5" customFormat="false" ht="15" hidden="false" customHeight="false" outlineLevel="0" collapsed="false">
      <c r="A5" s="35" t="s">
        <v>264</v>
      </c>
      <c r="B5" s="39" t="n">
        <f aca="false">SUM(RFM_Metrics!F3:F27)</f>
        <v>399610.58</v>
      </c>
      <c r="C5" s="37" t="s">
        <v>279</v>
      </c>
      <c r="D5" s="38" t="s">
        <v>280</v>
      </c>
    </row>
    <row r="6" customFormat="false" ht="15" hidden="false" customHeight="false" outlineLevel="0" collapsed="false">
      <c r="A6" s="35" t="s">
        <v>281</v>
      </c>
      <c r="B6" s="39" t="n">
        <f aca="false">AVERAGE(RFM_Metrics!F3:F27)</f>
        <v>15984.4232</v>
      </c>
      <c r="C6" s="37" t="s">
        <v>279</v>
      </c>
      <c r="D6" s="38" t="s">
        <v>282</v>
      </c>
    </row>
    <row r="7" customFormat="false" ht="15" hidden="false" customHeight="false" outlineLevel="0" collapsed="false">
      <c r="A7" s="35" t="s">
        <v>283</v>
      </c>
      <c r="B7" s="40" t="n">
        <f aca="false">AVERAGE(RFM_Metrics!D3:D27)</f>
        <v>47.48</v>
      </c>
      <c r="C7" s="37" t="s">
        <v>284</v>
      </c>
      <c r="D7" s="38" t="s">
        <v>285</v>
      </c>
    </row>
    <row r="8" customFormat="false" ht="15" hidden="false" customHeight="false" outlineLevel="0" collapsed="false">
      <c r="A8" s="35" t="s">
        <v>286</v>
      </c>
      <c r="B8" s="40" t="n">
        <f aca="false">AVERAGE(RFM_Metrics!E3:E27)</f>
        <v>4</v>
      </c>
      <c r="C8" s="37" t="s">
        <v>287</v>
      </c>
      <c r="D8" s="38" t="s">
        <v>288</v>
      </c>
    </row>
    <row r="9" customFormat="false" ht="15" hidden="false" customHeight="false" outlineLevel="0" collapsed="false">
      <c r="A9" s="35" t="s">
        <v>289</v>
      </c>
      <c r="B9" s="41" t="n">
        <f aca="false">COUNTIF(RFM_Metrics!K3:K27,"Loyal Customer")/COUNTA(RFM_Metrics!A3:A27)</f>
        <v>0.12</v>
      </c>
      <c r="C9" s="37" t="s">
        <v>290</v>
      </c>
      <c r="D9" s="38" t="s">
        <v>291</v>
      </c>
    </row>
    <row r="10" customFormat="false" ht="15" hidden="false" customHeight="false" outlineLevel="0" collapsed="false">
      <c r="A10" s="35" t="s">
        <v>292</v>
      </c>
      <c r="B10" s="41" t="n">
        <f aca="false">COUNTIF(RFM_Metrics!K3:K27,"At Risk")/COUNTA(RFM_Metrics!A3:A27)</f>
        <v>0.32</v>
      </c>
      <c r="C10" s="37" t="s">
        <v>293</v>
      </c>
      <c r="D10" s="38" t="s">
        <v>294</v>
      </c>
    </row>
    <row r="11" customFormat="false" ht="15" hidden="false" customHeight="false" outlineLevel="0" collapsed="false">
      <c r="A11" s="35" t="s">
        <v>295</v>
      </c>
      <c r="B11" s="41" t="n">
        <f aca="false">COUNTIF(RFM_Metrics!K3:K27,"Lost Customer")/COUNTA(RFM_Metrics!A3:A27)</f>
        <v>0.24</v>
      </c>
      <c r="C11" s="37" t="s">
        <v>296</v>
      </c>
      <c r="D11" s="38" t="s">
        <v>297</v>
      </c>
    </row>
    <row r="12" customFormat="false" ht="15" hidden="false" customHeight="false" outlineLevel="0" collapsed="false">
      <c r="A12" s="35" t="s">
        <v>298</v>
      </c>
      <c r="B12" s="42" t="str">
        <f aca="false">INDEX(RFM_Metrics!B3:B27,MATCH(MAX(RFM_Metrics!J3:J27),RFM_Metrics!J3:J27,0))</f>
        <v>Arjun Mehta</v>
      </c>
      <c r="C12" s="37" t="s">
        <v>279</v>
      </c>
      <c r="D12" s="38" t="s">
        <v>299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2026-06-09T01:58:45Z</dcterms:created>
  <dc:creator>openpyxl</dc:creator>
  <dc:description/>
  <dc:language>en-US</dc:language>
  <cp:lastModifiedBy/>
  <dcterms:modified xsi:type="dcterms:W3CDTF">2026-06-09T01:58:45Z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